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alhousie\Desktop\results\rq4\"/>
    </mc:Choice>
  </mc:AlternateContent>
  <xr:revisionPtr revIDLastSave="0" documentId="13_ncr:1_{92CDE910-114A-4A27-AED0-F3988039CFD8}" xr6:coauthVersionLast="47" xr6:coauthVersionMax="47" xr10:uidLastSave="{00000000-0000-0000-0000-000000000000}"/>
  <bookViews>
    <workbookView xWindow="-120" yWindow="-120" windowWidth="20730" windowHeight="11040" xr2:uid="{CEF30AF1-C0FA-444E-A5F8-C0020D3AD9A8}"/>
  </bookViews>
  <sheets>
    <sheet name="samples" sheetId="2" r:id="rId1"/>
    <sheet name="Planilha1" sheetId="7" r:id="rId2"/>
  </sheets>
  <definedNames>
    <definedName name="_xlnm._FilterDatabase" localSheetId="0" hidden="1">samples!$A$1:$G$1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2" l="1"/>
  <c r="J5" i="2"/>
  <c r="J4" i="2"/>
  <c r="J3" i="2"/>
  <c r="J10" i="2" s="1"/>
  <c r="J2" i="2"/>
  <c r="J8"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2" i="2"/>
  <c r="J9" i="2" l="1"/>
</calcChain>
</file>

<file path=xl/sharedStrings.xml><?xml version="1.0" encoding="utf-8"?>
<sst xmlns="http://schemas.openxmlformats.org/spreadsheetml/2006/main" count="615" uniqueCount="322">
  <si>
    <t>project</t>
  </si>
  <si>
    <t>smell</t>
  </si>
  <si>
    <t>package</t>
  </si>
  <si>
    <t>prompt_file</t>
  </si>
  <si>
    <t>context_size</t>
  </si>
  <si>
    <t>jitwatch</t>
  </si>
  <si>
    <t>Unstable Dependency</t>
  </si>
  <si>
    <t>org.adoptopenjdk.jitwatch.ui.resize</t>
  </si>
  <si>
    <t>data/processed/prompts/unstable_dependency/jitwatch/org_adoptopenjdk_jitwatch_ui_resize.txt</t>
  </si>
  <si>
    <t>org.adoptopenjdk.jitwatch.histo</t>
  </si>
  <si>
    <t>data/processed/prompts/unstable_dependency/jitwatch/org_adoptopenjdk_jitwatch_histo.txt</t>
  </si>
  <si>
    <t>org.adoptopenjdk.jitwatch.ui.nmethod.compilerthread</t>
  </si>
  <si>
    <t>data/processed/prompts/unstable_dependency/jitwatch/org_adoptopenjdk_jitwatch_ui_nmethod_compilerthread.txt</t>
  </si>
  <si>
    <t>org.adoptopenjdk.jitwatch.chain</t>
  </si>
  <si>
    <t>data/processed/prompts/unstable_dependency/jitwatch/org_adoptopenjdk_jitwatch_chain.txt</t>
  </si>
  <si>
    <t>javaparser</t>
  </si>
  <si>
    <t>zxing</t>
  </si>
  <si>
    <t>com.google.zxing.oned.rss</t>
  </si>
  <si>
    <t>data/processed/prompts/unstable_dependency/zxing/com_google_zxing_oned_rss.txt</t>
  </si>
  <si>
    <t>org.adoptopenjdk.jitwatch.hotthrow</t>
  </si>
  <si>
    <t>data/processed/prompts/unstable_dependency/jitwatch/org_adoptopenjdk_jitwatch_hotthrow.txt</t>
  </si>
  <si>
    <t>com.github.javaparser.storage</t>
  </si>
  <si>
    <t>data/processed/prompts/unstable_dependency/javaparser/com_github_javaparser_storage.txt</t>
  </si>
  <si>
    <t>org.adoptopenjdk.jitwatch.report.escapeanalysis</t>
  </si>
  <si>
    <t>data/processed/prompts/unstable_dependency/jitwatch/org_adoptopenjdk_jitwatch_report_escapeanalysis.txt</t>
  </si>
  <si>
    <t>byte-buddy</t>
  </si>
  <si>
    <t>com.service.usage2</t>
  </si>
  <si>
    <t>data/processed/prompts/unstable_dependency/byte-buddy/com_service_usage2.txt</t>
  </si>
  <si>
    <t>org.adoptopenjdk.jitwatch.report.suggestion</t>
  </si>
  <si>
    <t>data/processed/prompts/unstable_dependency/jitwatch/org_adoptopenjdk_jitwatch_report_suggestion.txt</t>
  </si>
  <si>
    <t>com.service.usage</t>
  </si>
  <si>
    <t>data/processed/prompts/unstable_dependency/byte-buddy/com_service_usage.txt</t>
  </si>
  <si>
    <t>org.adoptopenjdk.jitwatch.report</t>
  </si>
  <si>
    <t>data/processed/prompts/unstable_dependency/jitwatch/org_adoptopenjdk_jitwatch_report.txt</t>
  </si>
  <si>
    <t>foo</t>
  </si>
  <si>
    <t>data/processed/prompts/unstable_dependency/javaparser/foo.txt</t>
  </si>
  <si>
    <t>com.github.javaparser.symbolsolver.reflectionmodel.comparators</t>
  </si>
  <si>
    <t>data/processed/prompts/unstable_dependency/javaparser/com_github_javaparser_symbolsolver_reflectionmodel_comparators.txt</t>
  </si>
  <si>
    <t>com.packageName</t>
  </si>
  <si>
    <t>data/processed/prompts/unstable_dependency/javaparser/com_packageName.txt</t>
  </si>
  <si>
    <t>com.google.zxing.client.android.result.supplement</t>
  </si>
  <si>
    <t>data/processed/prompts/unstable_dependency/zxing/com_google_zxing_client_android_result_supplement.txt</t>
  </si>
  <si>
    <t>com.google.zxing.aztec</t>
  </si>
  <si>
    <t>data/processed/prompts/unstable_dependency/zxing/com_google_zxing_aztec.txt</t>
  </si>
  <si>
    <t>com.github.javaparser.wiki.samples</t>
  </si>
  <si>
    <t>data/processed/prompts/unstable_dependency/javaparser/com_github_javaparser_wiki_samples.txt</t>
  </si>
  <si>
    <t>com.github.javaparser.javasymbolsolver.javassist.symbols.main.jar</t>
  </si>
  <si>
    <t>data/processed/prompts/unstable_dependency/javaparser/com_github_javaparser_javasymbolsolver_javassist_symbols_main_jar.txt</t>
  </si>
  <si>
    <t>com.google.zxing.pdf417.detector</t>
  </si>
  <si>
    <t>data/processed/prompts/unstable_dependency/zxing/com_google_zxing_pdf417_detector.txt</t>
  </si>
  <si>
    <t>org.adoptopenjdk.jitwatch.parser.zing</t>
  </si>
  <si>
    <t>data/processed/prompts/unstable_dependency/jitwatch/org_adoptopenjdk_jitwatch_parser_zing.txt</t>
  </si>
  <si>
    <t>commons-io</t>
  </si>
  <si>
    <t>org.apache.commons.io.file.spi</t>
  </si>
  <si>
    <t>data/processed/prompts/unstable_dependency/commons-io/org_apache_commons_io_file_spi.txt</t>
  </si>
  <si>
    <t>org.adoptopenjdk.jitwatch.inline</t>
  </si>
  <si>
    <t>data/processed/prompts/unstable_dependency/jitwatch/org_adoptopenjdk_jitwatch_inline.txt</t>
  </si>
  <si>
    <t>com.google.zxing.aztec.decoder</t>
  </si>
  <si>
    <t>data/processed/prompts/unstable_dependency/zxing/com_google_zxing_aztec_decoder.txt</t>
  </si>
  <si>
    <t>org.adoptopenjdk.jitwatch.ui.report.suggestion</t>
  </si>
  <si>
    <t>data/processed/prompts/unstable_dependency/jitwatch/org_adoptopenjdk_jitwatch_ui_report_suggestion.txt</t>
  </si>
  <si>
    <t>com.google.zxing.multi.qrcode</t>
  </si>
  <si>
    <t>data/processed/prompts/unstable_dependency/zxing/com_google_zxing_multi_qrcode.txt</t>
  </si>
  <si>
    <t>org.adoptopenjdk.jitwatch.ui.report.eliminatedallocation</t>
  </si>
  <si>
    <t>data/processed/prompts/unstable_dependency/jitwatch/org_adoptopenjdk_jitwatch_ui_report_eliminatedallocation.txt</t>
  </si>
  <si>
    <t>org.adoptopenjdk.jitwatch.ui.compilechain</t>
  </si>
  <si>
    <t>data/processed/prompts/unstable_dependency/jitwatch/org_adoptopenjdk_jitwatch_ui_compilechain.txt</t>
  </si>
  <si>
    <t>org.adoptopenjdk.jitwatch.toplist</t>
  </si>
  <si>
    <t>data/processed/prompts/unstable_dependency/jitwatch/org_adoptopenjdk_jitwatch_toplist.txt</t>
  </si>
  <si>
    <t>org.adoptopenjdk.jitwatch.jarscan.sequencecount</t>
  </si>
  <si>
    <t>data/processed/prompts/unstable_dependency/jitwatch/org_adoptopenjdk_jitwatch_jarscan_sequencecount.txt</t>
  </si>
  <si>
    <t>org.adoptopenjdk.jitwatch.jarscan.methodsizehisto</t>
  </si>
  <si>
    <t>data/processed/prompts/unstable_dependency/jitwatch/org_adoptopenjdk_jitwatch_jarscan_methodsizehisto.txt</t>
  </si>
  <si>
    <t>(default package)</t>
  </si>
  <si>
    <t>data/processed/prompts/unstable_dependency/javaparser/(default package).txt</t>
  </si>
  <si>
    <t>gson</t>
  </si>
  <si>
    <t>com.google.gson.internal.bind.util</t>
  </si>
  <si>
    <t>data/processed/prompts/unstable_dependency/gson/com_google_gson_internal_bind_util.txt</t>
  </si>
  <si>
    <t>a.b.c</t>
  </si>
  <si>
    <t>data/processed/prompts/unstable_dependency/javaparser/a_b_c.txt</t>
  </si>
  <si>
    <t>org.adoptopenjdk.jitwatch.jarscan.visualiser</t>
  </si>
  <si>
    <t>data/processed/prompts/unstable_dependency/jitwatch/org_adoptopenjdk_jitwatch_jarscan_visualiser.txt</t>
  </si>
  <si>
    <t>org.adoptopenjdk.jitwatch.ui.stage</t>
  </si>
  <si>
    <t>data/processed/prompts/unstable_dependency/jitwatch/org_adoptopenjdk_jitwatch_ui_stage.txt</t>
  </si>
  <si>
    <t>bar</t>
  </si>
  <si>
    <t>data/processed/prompts/unstable_dependency/javaparser/bar.txt</t>
  </si>
  <si>
    <t>org.adoptopenjdk.jitwatch.intrinsic</t>
  </si>
  <si>
    <t>data/processed/prompts/unstable_dependency/jitwatch/org_adoptopenjdk_jitwatch_intrinsic.txt</t>
  </si>
  <si>
    <t>com.google.zxing.web.generator.client</t>
  </si>
  <si>
    <t>data/processed/prompts/unstable_dependency/zxing/com_google_zxing_web_generator_client.txt</t>
  </si>
  <si>
    <t>com.google.gson.protobuf</t>
  </si>
  <si>
    <t>data/processed/prompts/unstable_dependency/gson/com_google_gson_protobuf.txt</t>
  </si>
  <si>
    <t>org.adoptopenjdk.jitwatch.model.assembly</t>
  </si>
  <si>
    <t>data/processed/prompts/unstable_dependency/jitwatch/org_adoptopenjdk_jitwatch_model_assembly.txt</t>
  </si>
  <si>
    <t>net.bytebuddy.benchmark.specimen</t>
  </si>
  <si>
    <t>data/processed/prompts/unstable_dependency/byte-buddy/net_bytebuddy_benchmark_specimen.txt</t>
  </si>
  <si>
    <t>org.adoptopenjdk.jitwatch.treevisitor</t>
  </si>
  <si>
    <t>data/processed/prompts/unstable_dependency/jitwatch/org_adoptopenjdk_jitwatch_treevisitor.txt</t>
  </si>
  <si>
    <t>com.google.zxing.pdf417.decoder.ec</t>
  </si>
  <si>
    <t>data/processed/prompts/unstable_dependency/zxing/com_google_zxing_pdf417_decoder_ec.txt</t>
  </si>
  <si>
    <t>foo.bar.differentpackage</t>
  </si>
  <si>
    <t>data/processed/prompts/unstable_dependency/javaparser/foo_bar_differentpackage.txt</t>
  </si>
  <si>
    <t>com.github.javaparser.ast.nodeTypes.modifiers</t>
  </si>
  <si>
    <t>data/processed/prompts/unstable_dependency/javaparser/com_github_javaparser_ast_nodeTypes_modifiers.txt</t>
  </si>
  <si>
    <t>another</t>
  </si>
  <si>
    <t>data/processed/prompts/unstable_dependency/javaparser/another.txt</t>
  </si>
  <si>
    <t>org.adoptopenjdk.jitwatch.jarscan.allocationcount</t>
  </si>
  <si>
    <t>data/processed/prompts/unstable_dependency/jitwatch/org_adoptopenjdk_jitwatch_jarscan_allocationcount.txt</t>
  </si>
  <si>
    <t>org.gradle.work</t>
  </si>
  <si>
    <t>data/processed/prompts/unstable_dependency/byte-buddy/org_gradle_work.txt</t>
  </si>
  <si>
    <t>com.google.zxing.client.android.share</t>
  </si>
  <si>
    <t>data/processed/prompts/unstable_dependency/zxing/com_google_zxing_client_android_share.txt</t>
  </si>
  <si>
    <t>org.adoptopenjdk.jitwatch.process.compiler</t>
  </si>
  <si>
    <t>data/processed/prompts/unstable_dependency/jitwatch/org_adoptopenjdk_jitwatch_process_compiler.txt</t>
  </si>
  <si>
    <t>org.adoptopenjdk.jitwatch.ui.compilationchooser</t>
  </si>
  <si>
    <t>data/processed/prompts/unstable_dependency/jitwatch/org_adoptopenjdk_jitwatch_ui_compilationchooser.txt</t>
  </si>
  <si>
    <t>org.adoptopenjdk.jitwatch.process.runtime</t>
  </si>
  <si>
    <t>data/processed/prompts/unstable_dependency/jitwatch/org_adoptopenjdk_jitwatch_process_runtime.txt</t>
  </si>
  <si>
    <t>com.google.gson.extras.examples.rawcollections</t>
  </si>
  <si>
    <t>data/processed/prompts/unstable_dependency/gson/com_google_gson_extras_examples_rawcollections.txt</t>
  </si>
  <si>
    <t>com.example</t>
  </si>
  <si>
    <t>org.adoptopenjdk.jitwatch.process.javap</t>
  </si>
  <si>
    <t>data/processed/prompts/unstable_dependency/jitwatch/org_adoptopenjdk_jitwatch_process_javap.txt</t>
  </si>
  <si>
    <t>issue241</t>
  </si>
  <si>
    <t>data/processed/prompts/unstable_dependency/javaparser/issue241.txt</t>
  </si>
  <si>
    <t>package.b</t>
  </si>
  <si>
    <t>data/processed/prompts/unstable_dependency/javaparser/package_b.txt</t>
  </si>
  <si>
    <t>org.adoptopenjdk.jitwatch.ui.report.locks</t>
  </si>
  <si>
    <t>data/processed/prompts/unstable_dependency/jitwatch/org_adoptopenjdk_jitwatch_ui_report_locks.txt</t>
  </si>
  <si>
    <t>box</t>
  </si>
  <si>
    <t>data/processed/prompts/unstable_dependency/javaparser/box.txt</t>
  </si>
  <si>
    <t>com.google.zxing.multi.qrcode.detector</t>
  </si>
  <si>
    <t>data/processed/prompts/unstable_dependency/zxing/com_google_zxing_multi_qrcode_detector.txt</t>
  </si>
  <si>
    <t>commons-lang</t>
  </si>
  <si>
    <t>org.apache.commons.lang3.event</t>
  </si>
  <si>
    <t>data/processed/prompts/unstable_dependency/commons-lang/org_apache_commons_lang3_event.txt</t>
  </si>
  <si>
    <t>com.github.javaparser.resolution.promotion</t>
  </si>
  <si>
    <t>data/processed/prompts/unstable_dependency/javaparser/com_github_javaparser_resolution_promotion.txt</t>
  </si>
  <si>
    <t>com.github.javaparser.testpackage</t>
  </si>
  <si>
    <t>data/processed/prompts/unstable_dependency/javaparser/com_github_javaparser_testpackage.txt</t>
  </si>
  <si>
    <t>data/processed/prompts/unstable_dependency/gson/com_example.txt</t>
  </si>
  <si>
    <t>issue1945.interfaces</t>
  </si>
  <si>
    <t>data/processed/prompts/unstable_dependency/javaparser/issue1945_interfaces.txt</t>
  </si>
  <si>
    <t>com.google.zxing.aztec.detector</t>
  </si>
  <si>
    <t>data/processed/prompts/unstable_dependency/zxing/com_google_zxing_aztec_detector.txt</t>
  </si>
  <si>
    <t>com.google.zxing.integration.android</t>
  </si>
  <si>
    <t>data/processed/prompts/unstable_dependency/zxing/com_google_zxing_integration_android.txt</t>
  </si>
  <si>
    <t>com.github.javaparser.symbolsolver.cache</t>
  </si>
  <si>
    <t>data/processed/prompts/unstable_dependency/javaparser/com_github_javaparser_symbolsolver_cache.txt</t>
  </si>
  <si>
    <t>org.gradle.api.file</t>
  </si>
  <si>
    <t>data/processed/prompts/unstable_dependency/byte-buddy/org_gradle_api_file.txt</t>
  </si>
  <si>
    <t>com.github.javaparser.symbolsolver.declarations.common</t>
  </si>
  <si>
    <t>data/processed/prompts/unstable_dependency/javaparser/com_github_javaparser_symbolsolver_declarations_common.txt</t>
  </si>
  <si>
    <t>org.adoptopenjdk.jitwatch.ui.report</t>
  </si>
  <si>
    <t>data/processed/prompts/unstable_dependency/jitwatch/org_adoptopenjdk_jitwatch_ui_report.txt</t>
  </si>
  <si>
    <t>org.adoptopenjdk.jitwatch.ui</t>
  </si>
  <si>
    <t>data/processed/prompts/unstable_dependency/jitwatch/org_adoptopenjdk_jitwatch_ui.txt</t>
  </si>
  <si>
    <t>com.google.zxing.datamatrix.decoder</t>
  </si>
  <si>
    <t>data/processed/prompts/unstable_dependency/zxing/com_google_zxing_datamatrix_decoder.txt</t>
  </si>
  <si>
    <t>org.adoptopenjdk.jitwatch.compilation.codecache</t>
  </si>
  <si>
    <t>data/processed/prompts/unstable_dependency/jitwatch/org_adoptopenjdk_jitwatch_compilation_codecache.txt</t>
  </si>
  <si>
    <t>a</t>
  </si>
  <si>
    <t>data/processed/prompts/unstable_dependency/javaparser/a.txt</t>
  </si>
  <si>
    <t>main</t>
  </si>
  <si>
    <t>data/processed/prompts/unstable_dependency/javaparser/main.txt</t>
  </si>
  <si>
    <t>com.foo.base</t>
  </si>
  <si>
    <t>data/processed/prompts/unstable_dependency/javaparser/com_foo_base.txt</t>
  </si>
  <si>
    <t>org.adoptopenjdk.jitwatch.ui.parserchooser</t>
  </si>
  <si>
    <t>data/processed/prompts/unstable_dependency/jitwatch/org_adoptopenjdk_jitwatch_ui_parserchooser.txt</t>
  </si>
  <si>
    <t>org.adoptopenjdk.jitwatch.ui.toplist</t>
  </si>
  <si>
    <t>data/processed/prompts/unstable_dependency/jitwatch/org_adoptopenjdk_jitwatch_ui_toplist.txt</t>
  </si>
  <si>
    <t>org.adoptopenjdk.jitwatch.ui.browser</t>
  </si>
  <si>
    <t>data/processed/prompts/unstable_dependency/jitwatch/org_adoptopenjdk_jitwatch_ui_browser.txt</t>
  </si>
  <si>
    <t>com.google.zxing.client.android.camera.open</t>
  </si>
  <si>
    <t>data/processed/prompts/unstable_dependency/zxing/com_google_zxing_client_android_camera_open.txt</t>
  </si>
  <si>
    <t>com.google.zxing.client.android.camera</t>
  </si>
  <si>
    <t>data/processed/prompts/unstable_dependency/zxing/com_google_zxing_client_android_camera.txt</t>
  </si>
  <si>
    <t>org.adoptopenjdk.jitwatch.demo</t>
  </si>
  <si>
    <t>data/processed/prompts/unstable_dependency/jitwatch/org_adoptopenjdk_jitwatch_demo.txt</t>
  </si>
  <si>
    <t>org.adoptopenjdk.jitwatch.model.assembly.arm</t>
  </si>
  <si>
    <t>data/processed/prompts/unstable_dependency/jitwatch/org_adoptopenjdk_jitwatch_model_assembly_arm.txt</t>
  </si>
  <si>
    <t>com.google.zxing.client.android.history</t>
  </si>
  <si>
    <t>data/processed/prompts/unstable_dependency/zxing/com_google_zxing_client_android_history.txt</t>
  </si>
  <si>
    <t>implements.duplicate</t>
  </si>
  <si>
    <t>data/processed/prompts/unstable_dependency/javaparser/implements_duplicate.txt</t>
  </si>
  <si>
    <t>demo</t>
  </si>
  <si>
    <t>data/processed/prompts/unstable_dependency/javaparser/demo.txt</t>
  </si>
  <si>
    <t>org.adoptopenjdk.jitwatch.jarscan.freqinlinesize</t>
  </si>
  <si>
    <t>data/processed/prompts/unstable_dependency/jitwatch/org_adoptopenjdk_jitwatch_jarscan_freqinlinesize.txt</t>
  </si>
  <si>
    <t>net.bytebuddy.benchmark.runner</t>
  </si>
  <si>
    <t>data/processed/prompts/unstable_dependency/byte-buddy/net_bytebuddy_benchmark_runner.txt</t>
  </si>
  <si>
    <t>org.adoptopenjdk.jitwatch.ui.viewer</t>
  </si>
  <si>
    <t>data/processed/prompts/unstable_dependency/jitwatch/org_adoptopenjdk_jitwatch_ui_viewer.txt</t>
  </si>
  <si>
    <t>org.adoptopenjdk.jitwatch.logger</t>
  </si>
  <si>
    <t>data/processed/prompts/unstable_dependency/jitwatch/org_adoptopenjdk_jitwatch_logger.txt</t>
  </si>
  <si>
    <t>org.adoptopenjdk.jitwatch.jarscan.invokecount</t>
  </si>
  <si>
    <t>data/processed/prompts/unstable_dependency/jitwatch/org_adoptopenjdk_jitwatch_jarscan_invokecount.txt</t>
  </si>
  <si>
    <t>groovy.transform.builder</t>
  </si>
  <si>
    <t>data/processed/prompts/unstable_dependency/javaparser/groovy_transform_builder.txt</t>
  </si>
  <si>
    <t>data/processed/prompts/unstable_dependency/javaparser/javaparser.txt</t>
  </si>
  <si>
    <t>com.github.javaparser.javasymbolsolver.javassist.symbols.included.jar</t>
  </si>
  <si>
    <t>data/processed/prompts/unstable_dependency/javaparser/com_github_javaparser_javasymbolsolver_javassist_symbols_included_jar.txt</t>
  </si>
  <si>
    <t>com.google.zxing.maxicode</t>
  </si>
  <si>
    <t>data/processed/prompts/unstable_dependency/zxing/com_google_zxing_maxicode.txt</t>
  </si>
  <si>
    <t>com.google.zxing.client.android.clipboard</t>
  </si>
  <si>
    <t>data/processed/prompts/unstable_dependency/zxing/com_google_zxing_client_android_clipboard.txt</t>
  </si>
  <si>
    <t>org.adoptopenjdk.jitwatch.jarscan.nextinstruction</t>
  </si>
  <si>
    <t>data/processed/prompts/unstable_dependency/jitwatch/org_adoptopenjdk_jitwatch_jarscan_nextinstruction.txt</t>
  </si>
  <si>
    <t>org.adoptopenjdk.jitwatch.ui.filechooser</t>
  </si>
  <si>
    <t>data/processed/prompts/unstable_dependency/jitwatch/org_adoptopenjdk_jitwatch_ui_filechooser.txt</t>
  </si>
  <si>
    <t>org.adoptopenjdk.jitwatch.model.assembly.x86</t>
  </si>
  <si>
    <t>data/processed/prompts/unstable_dependency/jitwatch/org_adoptopenjdk_jitwatch_model_assembly_x86.txt</t>
  </si>
  <si>
    <t>designite</t>
  </si>
  <si>
    <t>codex</t>
  </si>
  <si>
    <t>Inspected ui/src/main/java/org/adoptopenjdk/jitwatch/ui/compilechain/CompileChainStage.java and ui/src/main/java/org/adoptopenjdk/jitwatch/ui/main/JITWatchUI.java. The target package contains only one class and has a single observed inbound reference, JITWatchUI.openCompileChain(). CompileChainStage depends on shared UI/core packages (CompileChainWalker, CompileNode, CompilationChooser, IStageAccessProxy, IRedrawable, RateLimitedResizeListener, UserInterfaceUtil, JavaFX), and several of those are reused across the repo (e.g., UserInterfaceUtil in 35 files, RateLimitedResizeListener in 4, CompilationChooser in 3), so the package is a low-incoming leaf rather than a package depending on less stable packages.</t>
  </si>
  <si>
    <t>Inspected `core/src/main/java/org/adoptopenjdk/jitwatch/jarscan/freqinlinesize/FreqInlineSizeOperation.java` and `core/src/main/java/org/adoptopenjdk/jitwatch/jarscan/JarScan.java`. The target package contains a single class, is referenced directly only from `JarScan` (`new FreqInlineSizeOperation(...)`), and that class depends outward on `IJarScanOperation`, `MemberSignatureParts`, `MemberBytecode`, `BytecodeInstruction`, `StringUtil`, and `JITWatchConstants`. This gives the package 1 observed incoming reference versus several outgoing package dependencies, so it does not look like a stable package depending on less-stable ones. The imported model/util types are also widely reused elsewhere in the repo (`MemberSignatureParts` in 17 files, `MemberBytecode` in 19, `BytecodeInstruction` in 16, `StringUtil` in 31), which further weakens any unstable-dependency case.</t>
  </si>
  <si>
    <t>Inspected core/src/main/java/org/adoptopenjdk/jitwatch/model/assembly/{AbstractAssemblyParser.java,AssemblyUtil.java,AssemblyReference.java,AssemblyProcessor.java,AssemblyMethod.java,AssemblyBlock.java,AssemblyInstruction.java,AssemblyLabels.java,Architecture.java,IAssemblyParser.java} and the direct subpackage classes in model/assembly/arm and model/assembly/x86. The package has broad fan-in from parser/model/UI code (e.g. HotSpotLogParser.java, Compilation.java, AbstractMetaMember.java, IMetaMember.java, TriView.java, ViewerAssembly.java, AssemblyLabel.java, OSUtil.java, DisassemblyUtil.java), but it also directly depends on the more implementation-specific arm/x86 subpackages via AssemblyUtil.java and AbstractAssemblyParser.java, and on MnemonicEntry via AssemblyReference.java. Those subpackages have much smaller external fan-in and depend back on this package, so the target package is depending on less stable packages.</t>
  </si>
  <si>
    <t>Inspected core/src/main/java/org/adoptopenjdk/jitwatch/model/assembly/arm/ARMShifter.java, ARMRegisterType.java, ARMDirective.java, ARMExtend.java, MnemonicEntry.java, and AssemblyParserARM.java. The package has 6 classes</t>
  </si>
  <si>
    <t>Inspected `javaparser-symbol-solver-core/src/main/java/com/github/javaparser/symbolsolver/cache/{DefaultCacheStats,GuavaCache,NoCache,InMemoryCache}.java`, `javaparser-symbol-solver-core/src/main/java/com/github/javaparser/symbolsolver/resolution/typesolvers/{CombinedTypeSolver,JavaParserTypeSolver}.java`, and `javaparser-symbol-solver-testing/src/test/java/com/github/javaparser/symbolsolver/resolution/typesolvers/CombinedTypeSolverTest.java`. The target package is a small adapter layer: it has only 2 production internal clients (`CombinedTypeSolver`, `JavaParserTypeSolver`) plus 1 test client, and its classes depend mainly on `com.github.javaparser.resolution.cache` (Cache/CacheStats) plus Guava in `GuavaCache`. The same `resolution.cache` API is already used by the higher-level solvers, so there is no concrete evidence that `com.github.javaparser.symbolsolver.cache` depends on a less stable package than itself.</t>
  </si>
  <si>
    <t>Inspected ui/src/main/java/org/adoptopenjdk/jitwatch/ui/report/suggestion/SuggestionRowBean.java and SuggestionRowBuilder.java: the package contains only these two leaf UI helpers. ui/src/main/java/org/adoptopenjdk/jitwatch/ui/report/ReportStage.java is the only direct internal caller. SuggestionRowBuilder depends on shared types (`org.adoptopenjdk.jitwatch.report.Report`, `ui.report.IReportRowBean`, four shared cell classes, JavaFX), and `Report` is imported in 14 UI source files, so the package is not shown depending on less-stable, narrowly used code</t>
  </si>
  <si>
    <t>Inspected core/src/main/java/org/adoptopenjdk/jitwatch/logger/ILogListener.java, NullLogListener.java, and StdLogListener.java. The package is self-contained: the only internal dependency is ILogListener, and StdLogListener only uses java.lang.System</t>
  </si>
  <si>
    <t>Inspected the only two exact `package javaparser</t>
  </si>
  <si>
    <t>Inspected the exact `package foo</t>
  </si>
  <si>
    <t>Inspected core/src/main/java/org/adoptopenjdk/jitwatch/process/compiler/ICompiler.java and CompilerJava.java, CompilerGroovy.java, CompilerKotlin.java, CompilerScala.java, CompilerJRuby.java, CompilerJavaScript.java. These classes only depend on org.adoptopenjdk.jitwatch.process.AbstractProcess/IExternalProcess, org.adoptopenjdk.jitwatch.logger.ILogListener, and core JITWatchConstants</t>
  </si>
  <si>
    <t>Inspected `core/src/main/java/org/adoptopenjdk/jitwatch/inline/HeadlessInlineVisitor.java` and `core/src/main/java/org/adoptopenjdk/jitwatch/launch/LaunchHeadless.java`. The target package contains only one class and has just one incoming reference (`LaunchHeadless`), while `HeadlessInlineVisitor` depends on central packages `model`, `core`, `util`, `compilation`, and `treevisitor`. Repo-wide reference counts from `rg -l` show those dependency packages are much more widely used (`model` 124 files, `core` 93, `util` 39, `compilation` 14, `treevisitor` 8) than `inline` itself, so `org.adoptopenjdk.jitwatch.inline` is not a stable package depending on less stable ones.</t>
  </si>
  <si>
    <t>No Java file in the repo declares `package implements.duplicate</t>
  </si>
  <si>
    <t>Inspected zxing.appspot.com/src/main/java/com/google/zxing/web/generator/client/Generator.java, CalendarEventGenerator.java, ContactInfoGenerator.java, EmailGenerator.java, TextGenerator.java, UrlGenerator.java, WifiGenerator.java, GeneratorSource.java, Validators.java, and zxing.appspot.com/src/main/resources/com/google/zxing/web/generator/Generator.gwt.xml. The package is the GWT entry point and its classes depend outward on many GWT UI/event/date/i18n APIs plus local helpers, but a repository-wide search found no Java source outside this package importing or referencing these client classes, so there is no evidence that this package depends on less-stable packages while itself being more stable.</t>
  </si>
  <si>
    <t>Inspected android/src/com/google/zxing/client/android/result/supplement/SupplementalInfoRetriever.java plus TitleRetriever.java, ProductResultInfoRetriever.java, BookResultInfoRetriever.java, URIResultInfoRetriever.java. The package has only one outside caller in the repo, CaptureActivity.java, so it is not a highly stable package. Its internal dependencies are on shared packages/classes such as com.google.zxing.client.result.*, com.google.zxing.client.android.history.HistoryManager, HttpHelper, and LocaleManager, which are also referenced from other areas like ResultHandler.java, URIResultHandler.java, SearchBookContentsActivity.java, and HistoryActivity.java. I found no evidence that this package depends on packages that are less stable than itself.</t>
  </si>
  <si>
    <t>`extras/src/main/java/com/google/gson/extras/examples/rawcollections/RawCollectionsExample.java` is the only file in this package and it only imports `com.google.gson.Gson`, `JsonArray`, `JsonParser`, plus JDK types</t>
  </si>
  <si>
    <t>Inspected ui/src/main/java/org/adoptopenjdk/jitwatch/ui/nmethod/compilerthread/CompilerThreadStage.java and ui/src/main/java/org/adoptopenjdk/jitwatch/ui/main/JITWatchUI.java. The target package contains only one class, and the only repository use found is JITWatchUI importing/instantiating CompilerThreadStage. CompilerThreadStage itself depends outward on several packages (org.adoptopenjdk.jitwatch.model, org.adoptopenjdk.jitwatch.ui.main, org.adoptopenjdk.jitwatch.ui.nmethod, org.adoptopenjdk.jitwatch.util, plus JavaFX). This is a low-fan-in, high-fan-out UI package, so there is no evidence that a stable package in this unit depends on less-stable packages.</t>
  </si>
  <si>
    <t>Inspected ui/src/main/java/org/adoptopenjdk/jitwatch/ui/compilationchooser/CompilationChooser.java</t>
  </si>
  <si>
    <t>`core/src/main/java/com/google/zxing/maxicode/MaxiCodeReader.java` is the only production class in the package and it depends on `com.google.zxing.maxicode.decoder.Decoder` plus many `com.google.zxing`/`com.google.zxing.common` types</t>
  </si>
  <si>
    <t>`core/src/main/java/org/adoptopenjdk/jitwatch/report/escapeanalysis/AbstractEscapeAnalysisWalker.java` is the only exact-match class in the package. It depends on shared infrastructure (`org.adoptopenjdk.jitwatch.core.JITWatchConstants`, `org.adoptopenjdk.jitwatch.model.*`, `org.adoptopenjdk.jitwatch.model.bytecode.*`, `org.adoptopenjdk.jitwatch.report.*`), and those collaborators are broadly reused (`IReadOnlyJITDataModel` appears in 30 source files, `Report` in 6, `ReportType` in 3, `AbstractReportBuilder` in 3). The package is only referenced by two concrete walkers, `core/src/main/java/org/adoptopenjdk/jitwatch/report/locks/OptimisedLocksWalker.java` and `core/src/main/java/org/adoptopenjdk/jitwatch/report/escapeanalysis/eliminatedallocation/EliminatedAllocationWalker.java`, so there is no evidence it depends on less stable packages.</t>
  </si>
  <si>
    <t>Inspected javaparser-core/src/main/java/com/github/javaparser/ast/nodeTypes/modifiers/{NodeWithAccessModifiers,NodeWithAbstractModifier,NodeWithFinalModifier,NodeWithPrivateModifier,NodeWithProtectedModifier,NodeWithPublicModifier,NodeWithStaticModifier,NodeWithStrictfpModifier}.java and javaparser-core/src/main/java/com/github/javaparser/ast/nodeTypes/NodeWithModifiers.java. The package is a small reusable API layer: 16 external classes in ast.body, ast.expr, and ast.modules import these interfaces (for example MethodDeclaration, FieldDeclaration, TypeDeclaration, VariableDeclarationExpr, ModuleRequiresDirective). Its only outgoing dependencies are to core AST types Node, Modifier.Keyword, and the shared NodeWithModifiers interface, which is broadly reused, so this package does not depend heavily on less-stable packages.</t>
  </si>
  <si>
    <t>`SequenceCountOperation.java` and `InstructionSequence.java` only depend on `IJarScanOperation`, `JITWatchConstants`, and bytecode-model types (`Opcode`, `BytecodeInstruction`, `MemberBytecode`)</t>
  </si>
  <si>
    <t>Inspected core/src/main/java/com/google/zxing/oned/rss/{AbstractRSSReader.java,RSS14Reader.java,RSSUtils.java,DataCharacter.java,FinderPattern.java,Pair.java}, plus core/src/main/java/com/google/zxing/oned/MultiFormatOneDReader.java and core/src/main/java/com/google/zxing/oned/rss/expanded/{RSSExpandedReader.java,ExpandedPair.java}. The package has clear fan-in: MultiFormatOneDReader instantiates RSS14Reader/RSSExpandedReader, and the expanded package imports AbstractRSSReader, DataCharacter, FinderPattern, and RSSUtils. The target classesâ€™ outgoing dependencies are limited to core ZXing/common APIs, OneDReader, and java.util, so the package is not depending on less-stable packages than itself.</t>
  </si>
  <si>
    <t>Inspected core/src/main/java/org/adoptopenjdk/jitwatch/chain/CompileChainWalker.java and CompileNode.java</t>
  </si>
  <si>
    <t>Inspected byte-buddy-gradle-plugin/src/main/java-gradle-api/org/gradle/work/{Incremental.java,InputChanges.java,FileChange.java,ChangeType.java,package-info.java} plus byte-buddy-gradle-plugin/src/main/java/net/bytebuddy/build/gradle/{ByteBuddyTask.java,IncrementalResolver.java}. The package is a small Gradle-API shim: its only non-JDK dependencies are org.gradle.api.file.Directory and org.gradle.api.provider.Provider, and it is directly used by only a few classes (ByteBuddyTask, IncrementalResolver, and one test). The observed dependency fan-out is limited and there is no evidence that org.gradle.work depends on a less stable internal package than itself.</t>
  </si>
  <si>
    <t>Inspected `android-integration/src/main/java/com/google/zxing/integration/android/IntentIntegrator.java` and `IntentResult.java`, `android-integration/pom.xml`, `pom.xml`, and `docs/apidocs/com/google/zxing/integration/android/package-use.html`. The package contains only these two classes</t>
  </si>
  <si>
    <t>Inspected javaparser-core-testing/src/test/resources/com/github/javaparser/utils/projectroot/issue2615/with_module_info_in_root/demo/Main.java, .../without_module_info/demo/Main.java, .../with_module_info/demo/Main.java, and .../with_module_info/demo/module-info.java. The package `demo` is just a test fixture: one `Main` class that depends only on `com.github.javaparser.*` and `java.io`/`java.nio`, plus a trivial `module demo {}`. Repository-wide searches found no other source file importing or referencing `package demo`, so there is no evidence of a stable package depending on less-stable packages here.</t>
  </si>
  <si>
    <t>Inspected core/src/main/java/com/google/zxing/datamatrix/decoder/{Decoder.java,BitMatrixParser.java,DataBlock.java,Version.java,DecodedBitStreamParser.java} and core/src/main/java/com/google/zxing/datamatrix/DataMatrixReader.java, plus core/src/test/java/com/google/zxing/datamatrix/decoder/DecodedBitStreamParserTestCase.java. The package has only one production incoming dependency from DataMatrixReader (it instantiates Decoder)</t>
  </si>
  <si>
    <t>Inspected core/src/main/java/org/adoptopenjdk/jitwatch/jarscan/invokecount/InvokeCountOperation.java, MethodCountMap.java, InvokeMethodCountMap.java, and core/src/main/java/org/adoptopenjdk/jitwatch/jarscan/JarScan.java. The target package contains only these 3 classes and has only one in-repo incoming dependency: JarScan creates InvokeCountOperation in its invokecount CLI branch. Its outgoing dependencies are limited to shared infrastructure types (IJarScanOperation, model.bytecode classes, ParseUtil, and JITWatchConstants), which are used broadly elsewhere in the repository. That evidence does not show a stable package depending on less stable packages, so UD is not present.</t>
  </si>
  <si>
    <t>I inspected `javaparser-symbol-solver-testing/src/test/resources/enumLiteralsInAnnotatedClass/foo/bar/differentpackage/AClass2.java` and `javaparser-symbol-solver-testing/src/test/resources/internalClassInInterface/foo/bar/differentpackage/AClass2.java`, plus the paired `foo.bar` files `.../foo/bar/AClass.java`, `.../foo/bar/BinaryExpr.java`, `.../foo/bar/AClass.java`, and `.../foo/bar/AnInterface.java`. The target package is only used in these two test-resource classes, and both classes depend outward only on `foo.bar.BinaryExpr` or `foo.bar.AnInterface`</t>
  </si>
  <si>
    <t>Inspected ui/src/main/java/org/adoptopenjdk/jitwatch/ui/browser/BrowserStage.java, ui/src/main/java/org/adoptopenjdk/jitwatch/ui/main/JITWatchUI.java, and ui/src/main/java/org/adoptopenjdk/jitwatch/util/UserInterfaceUtil.java. The target package contains only BrowserStage</t>
  </si>
  <si>
    <t>Inspected core/src/main/java/org/adoptopenjdk/jitwatch/report/suggestion/SuggestionWalker.java, which is the only class in this package. It depends on core/model/report/util/compilation packages, and repo-wide searches show the package is referenced only twice (ui/src/main/java/org/adoptopenjdk/jitwatch/ui/main/JITWatchUI.java:387 and core/src/main/java/org/adoptopenjdk/jitwatch/launch/LaunchHeadless.java:202), while the internal packages it uses are referenced far more broadly (model 208 files, util 102, freelogj 57, report 25, compilation 24). That makes the package relatively unstable itself, but there is no evidence it depends on packages that are less stable than itself.</t>
  </si>
  <si>
    <t>Inspected byte-buddy-benchmark/src/main/java/net/bytebuddy/benchmark/runner/QuickRunner.java and package-info.java. QuickRunner is the only class in the package, and rg found no other source file importing or referencing net.bytebuddy.benchmark.runner. It depends outward on five net.bytebuddy.benchmark classes plus org.openjdk.jmh.runner types, so the package has outgoing dependencies but no observed incoming dependencies in the repo</t>
  </si>
  <si>
    <t>Inspected `javaparser-symbol-solver-testing/src/test/resources/record_declarations/Box.java`, `GenericBox.java`, `BoxWithAllConstructors.java`, and `BoxWithNonCanonicalConstructor.java`, plus `JavassistRecordDeclarationTest.java` and `ReflectionRecordDeclarationTest.java`. The `box` package is just a test-fixture package: `Box.java` only depends on `java.util.function.Function`, and the other records use only `java.lang` types. The two test classes repeatedly resolve `box.Box`, `box.GenericBox`, `box.BoxWithAllConstructors`, and `box.BoxWithNonCanonicalConstructor`, so `box` has clear incoming references and no evidence of depending on less-stable internal packages.</t>
  </si>
  <si>
    <t>Inspected ui/src/main/java/org/adoptopenjdk/jitwatch/ui/toplist/TopListStage.java and TopListWrapper.java, plus the only external caller ui/src/main/java/org/adoptopenjdk/jitwatch/ui/main/JITWatchUI.java. The target package contains just these two classes</t>
  </si>
  <si>
    <t>Inspected `core/src/main/java/org/adoptopenjdk/jitwatch/intrinsic/IntrinsicFinder.java`, which is the only class in the package. It depends outward on `org.adoptopenjdk.jitwatch.core`, `org.adoptopenjdk.jitwatch.compilation`, `org.adoptopenjdk.jitwatch.model`, and logging, all of which are broadly reused elsewhere in the repo (`core` appears in 151 source files, `model` in 208, `compilation` in 24). The package itself has very few incoming uses (`IntrinsicFinder` is referenced in 4 files, including `MostUsedIntrinsicsTopListVisitable.java`, `ClassMemberList.java`, and `TestIntrinsicFinder.java`). This is a leaf utility package depending on more stable, central packages, so the unstable dependency smell is not evident here.</t>
  </si>
  <si>
    <t>Inspected core/src/main/java/org/adoptopenjdk/jitwatch/parser/zing/ZingLogParser.java, ZingLine.java, and ZingLineType.java. `rg` found only one production incoming dependency on the package (`core/src/main/java/org/adoptopenjdk/jitwatch/parser/ParserFactory.java`) plus the test `core/src/test/java/org/adoptopenjdk/jitwatch/test/TestZingParser.java`. The packageâ€™s outbound imports are mostly shared infrastructure (`AbstractLogParser`, `Tag`, `Task`, `ParseUtil`, `StringUtil`, and model classes), which are also used by other parsers such as `HotSpotLogParser.java` and `J9LogParser.java`, so there is no evidence that this package is a stable package depending on less-stable ones.</t>
  </si>
  <si>
    <t>Inspected byte-buddy-benchmark/src/main/java/net/bytebuddy/benchmark/specimen/ExampleClass.java, ExampleInterface.java, and package-info.java. ExampleClass has no external imports</t>
  </si>
  <si>
    <t>Inspected core/src/main/java/com/google/zxing/aztec/AztecReader.java, AztecWriter.java, and AztecDetectorResult.java: this package has only three classes, and its direct outgoing dependencies are mainly to internal subpackages (`com.google.zxing.aztec.decoder`, `detector`, `encoder`) plus the shared `com.google.zxing`/`common` APIs. The main external callers are core/src/main/java/com/google/zxing/MultiFormatReader.java and MultiFormatWriter.java, which import AztecReader and AztecWriter, so the package has visible incoming use from the library entry points. I did not find evidence that this package is a highly stable package depending heavily on less-stable packages</t>
  </si>
  <si>
    <t>Inspected `javaparser-symbol-solver-testing/src/test/resources/issue1456/bar/A.java`, `javaparser-symbol-solver-testing/src/test/resources/issue1456/foo/A.java`, and `javaparser-symbol-solver-testing/src/test/java/com/github/javaparser/symbolsolver/Issue1456Test.java`. `bar.A` is a single class that only extends `foo.A`</t>
  </si>
  <si>
    <t>No: the exact package contains only `ui/src/main/java/org/adoptopenjdk/jitwatch/ui/Dialogs.java`, and that class is referenced by 5 other UI classes (`JITWatchUI`, `MainConfigStage`, `SandboxStage`, `EditorPane`, `TriView`). Its only internal dependencies are `org.adoptopenjdk.jitwatch.util.UserInterfaceUtil` and `org.adoptopenjdk.jitwatch.core.JITWatchConstants` (shown at lines 24-26 of `Dialogs.java`), and those are broadly reused elsewhere in the repo (31 files import `UserInterfaceUtil`</t>
  </si>
  <si>
    <t>Inspected core/src/main/java/com/google/zxing/multi/qrcode/detector/MultiDetector.java, core/src/main/java/com/google/zxing/multi/qrcode/detector/MultiFinderPatternFinder.java, and core/src/main/java/com/google/zxing/multi/qrcode/QRCodeMultiReader.java. The target package has only one in-repo package-level client (QRCodeMultiReader), while its classes depend on com.google.zxing.qrcode.detector and com.google.zxing.common</t>
  </si>
  <si>
    <t>Inspected `javaparser-symbol-solver-testing/src/test/resources/differentiate_dot_expressions/com/packageName/ClassInPackage.java` and `InnerStaticClassFieldContainer.java`: the exact package contains only 2 classes, both self-contained, with no imports or references to other packages. The only observed external use is `javaparser-symbol-solver-testing/src/test/resources/differentiate_dot_expressions/PackageDotExpressions.java`, which depends on `com.packageName` classes</t>
  </si>
  <si>
    <t>Inspected ui/src/main/java/org/adoptopenjdk/jitwatch/ui/filechooser/FileChooserList.java and FileChooserListSrcZip.java, plus the only import sites in ui/src/main/java/org/adoptopenjdk/jitwatch/ui/main/MainConfigStage.java and ui/src/main/java/org/adoptopenjdk/jitwatch/ui/sandbox/SandboxConfigStage.java. The package has only 2 internal dependents, while its main internal dependencies are org.adoptopenjdk.jitwatch.util.UserInterfaceUtil (referenced by 34 source files) and org.adoptopenjdk.jitwatch.util.FileUtil (3 source files), which are shared utility packages rather than less-stable sinks</t>
  </si>
  <si>
    <t>Inspected core/src/main/java/org/adoptopenjdk/jitwatch/hotthrow/HotThrowFinder.java and HotThrowResult.java, plus the only incoming user found, core/src/main/java/org/adoptopenjdk/jitwatch/toplist/HotThrowTopListVisitable.java. The package contains just 2 classes and has only 1 direct incoming dependency (from toplist), while HotThrowFinder depends on several broader packages (core, compilation, model, model.bytecode, util, and freelogj). This makes the package itself relatively unstable, so it is not a stable package depending on less-stable packages.</t>
  </si>
  <si>
    <t>Inspected gson/src/main/java/com/google/gson/internal/bind/util/ISO8601Utils.java, gson/src/test/java/com/google/gson/internal/bind/util/ISO8601UtilsTest.java, and gson/src/main/java/com/google/gson/internal/bind/DefaultDateTypeAdapter.java. `rg --files` shows this package contains only one production class and one test. ISO8601Utils imports only JDK types (`java.text`, `java.util`) and the only in-repo use found is the single reference from DefaultDateTypeAdapter, so there is no evidence that this package depends on less-stable in-repo packages.</t>
  </si>
  <si>
    <t>Inspected `ui/src/main/java/org/adoptopenjdk/jitwatch/ui/report/eliminatedallocation/EliminatedAllocationRowBean.java`, `ui/src/main/java/org/adoptopenjdk/jitwatch/ui/report/eliminatedallocation/EliminatedAllocationRowBuilder.java`, and `ui/src/main/java/org/adoptopenjdk/jitwatch/ui/report/ReportStage.java`. The target package has only one in-repo incoming reference (from `ReportStage`), while it depends on `org.adoptopenjdk.jitwatch.model` (referenced in 163 files), `org.adoptopenjdk.jitwatch.report` (22 files), and `org.adoptopenjdk.jitwatch.ui.report` (16 files), so its dependencies are more stable than the package itself rather than less stable.</t>
  </si>
  <si>
    <t>Inspected `byte-buddy-gradle-plugin/src/main/java-gradle-api/org/gradle/api/file/Directory.java`, `DirectoryProperty.java`, `package-info.java`, and `byte-buddy-gradle-plugin/src/main/java-gradle-api/org/gradle/api/provider/Provider.java`. The target package is a small compatibility shim: `Directory` only depends on `java.io.File`</t>
  </si>
  <si>
    <t>Inspected core/src/main/java/org/adoptopenjdk/jitwatch/jarscan/methodsizehisto/MethodSizeHistoOperation.java, core/src/main/java/org/adoptopenjdk/jitwatch/jarscan/JarScan.java, core/src/main/java/org/adoptopenjdk/jitwatch/jarscan/IJarScanOperation.java, core/src/main/java/org/adoptopenjdk/jitwatch/model/bytecode/MemberBytecode.java, and core/src/main/java/org/adoptopenjdk/jitwatch/model/MemberSignatureParts.java. The package contains a single class and is directly referenced only by JarScan.java, while its dependencies are shared core types used broadly elsewhere in the repo (rg found MemberBytecode in BytecodeLoader, HotThrowFinder, ClassBC, and other jar-scan operations</t>
  </si>
  <si>
    <t>Inspected `test-shrinker/src/main/java/com/example/Main.java`, `NoSerializedNameMain.java`, `ClassWithAdapter.java`, `GenericClasses.java`, `ClassWithJsonAdapterAnnotation.java`, and `test-shrinker/src/test/java/com/google/gson/it/ShrinkingIT.java`. `com.example` is a small test-fixture package: its classes mostly depend on `com.google.gson` and `java.*`, and the only external Java usage found is `ShrinkingIT` invoking `com.example.Main`, `NoSerializedNameMain`, and `UnusedClass`. That gives the package limited incoming reuse and no evidence that it depends heavily on less-stable packages than itself, so UD is not present.</t>
  </si>
  <si>
    <t>No Java source in the repository declares `package package.b</t>
  </si>
  <si>
    <t>Inspected core/src/main/java/org/adoptopenjdk/jitwatch/report/Report.java, AbstractReportBuilder.java, and ReportType.java, plus their users in report/inlining/InliningWalker.java, report/suggestion/SuggestionWalker.java, report/escapeanalysis/AbstractEscapeAnalysisWalker.java, report/comparator/ScoreComparator.java, report/comparator/MemberComparator.java, and launch/LaunchHeadless.java. The package has 6 distinct importing classes, while its external dependencies are on org.adoptopenjdk.jitwatch.model (94 importing classes), org.adoptopenjdk.jitwatch.compilation (13), and org.adoptopenjdk.jitwatch.treevisitor (8), all more stable than the package itself, so the package is not depending on less-stable packages.</t>
  </si>
  <si>
    <t>Inspected the `package main</t>
  </si>
  <si>
    <t>Inspected android/src/com/google/zxing/client/android/share/{AppPickerActivity.java,AppInfo.java,LoadPackagesAsyncTask.java,BookmarkAdapter.java,BookmarkPickerActivity.java,ShareActivity.java}, android/src/com/google/zxing/client/android/CaptureActivity.java, android/src/com/google/zxing/client/android/clipboard/ClipboardInterface.java, and android/AndroidManifest.xml. The packageâ€™s outgoing project dependencies are limited to com.google.zxing.client.android.{Intents,Contents,R} and com.google.zxing.client.android.clipboard.ClipboardInterface</t>
  </si>
  <si>
    <t>Inspected `proto/src/main/java/com/google/gson/protobuf/ProtoTypeAdapter.java`, `proto/pom.xml`, `proto/README.md`, and the four functional tests under `proto/src/test/java/com/google/gson/protobuf/functional/`. The package contains a single production class, and its outgoing dependencies are on Gson, protobuf, and Guava. Incoming use is limited to those 4 test files</t>
  </si>
  <si>
    <t>Inspected core/src/main/java/com/google/zxing/aztec/detector/Detector.java (the only class in this package) and core/src/main/java/com/google/zxing/aztec/AztecReader.java. Detector depends outward on 5 packages (com.google.zxing, com.google.zxing.aztec, com.google.zxing.common, com.google.zxing.common.detector, com.google.zxing.common.reedsolomon), while the only production class importing it is AztecReader</t>
  </si>
  <si>
    <t>Inspected core/src/main/java/org/adoptopenjdk/jitwatch/process/runtime/IRuntime.java and RuntimeJava/Groovy/JavaScript/JRuby/Scala/Kotlin, plus core/src/main/java/org/adoptopenjdk/jitwatch/jvmlang/LanguageManager.java, core/src/main/java/org/adoptopenjdk/jitwatch/process/AbstractProcess.java, and ui/src/main/java/org/adoptopenjdk/jitwatch/sandbox/Sandbox.java. The package has low fan-in: the only production consumers found are LanguageManager, Sandbox, and AbstractProcess (with one test importing RuntimeJava). Its classes depend outward on process, logger, loader, compiler, and core packages, but the package itself is not a high-fan-in stable package, so there is no evidence of a stable package depending on less stable ones.</t>
  </si>
  <si>
    <t>Inspected core/src/main/java/org/adoptopenjdk/jitwatch/jarscan/nextinstruction/NextInstructionOperation.java, NextInstructionCount.java, and NextInstructionCountList.java plus core/src/main/java/org/adoptopenjdk/jitwatch/jarscan/JarScan.java. JarScan.java is the only source file that imports and instantiates NextInstructionOperation, so the target package has very low incoming coupling. Its classes depend on sibling jarscan.sequencecount types and shared model.bytecode.Opcode</t>
  </si>
  <si>
    <t>Inspected `core/src/main/java/org/adoptopenjdk/jitwatch/demo/MakeHotSpotLog.java`: the package contains only this one class, and its imports are limited to JDK types plus `com.chrisnewland.freelogj`</t>
  </si>
  <si>
    <t>Inspected `.mvn/wrapper/MavenWrapperDownloader.java` (no package declaration</t>
  </si>
  <si>
    <t>Inspected core/src/main/java/org/adoptopenjdk/jitwatch/jarscan/allocationcount/AllocationCountOperation.java, InstructionAllocCountMap.java, and AllocCountMap.java plus core/src/main/java/org/adoptopenjdk/jitwatch/jarscan/JarScan.java. The package has only three classes and is referenced only by JarScan</t>
  </si>
  <si>
    <t>Inspected core/src/main/java/com/google/zxing/pdf417/decoder/ec/ErrorCorrection.java, ModulusGF.java, ModulusPoly.java, and core/src/main/java/com/google/zxing/pdf417/decoder/PDF417ScanningDecoder.java. The package has only one production incoming dependency: PDF417ScanningDecoder imports ErrorCorrection</t>
  </si>
  <si>
    <t>Inspected javaparser-symbol-solver-core/src/main/java/com/github/javaparser/symbolsolver/reflectionmodel/comparators/ClassComparator.java, MethodComparator.java, and ParameterComparator.java: they depend only on JDK types (java.util.Comparator, java.lang.reflect.Method/Parameter/Class) and each other within the same package. The only production classes I found importing this package are javaparser-symbol-solver-core/src/main/java/com/github/javaparser/symbolsolver/reflectionmodel/ReflectionClassDeclaration.java and ReflectionRecordDeclaration.java, both using MethodComparator to sort declared methods. I found no dependencies from this package to other project packages, so it is not an unstable dependency.</t>
  </si>
  <si>
    <t>No source file in the repository declares the exact package com.github.javaparser.javasymbolsolver.javassist.symbols.main.jar (rg found 0 matches). The closest code is 17 test fixture classes under com.github.javaparser.javasymbolsolver.javassist_symbols.main_jar, such as javaparser-symbol-solver-testing/src/test/resources/javassist_symbols/main_jar/src/.../ConcreteClass.java, SubClassIncludedJar.java, and InterfaceUserExcludedJar.java</t>
  </si>
  <si>
    <t>Inspected ui/src/main/java/org/adoptopenjdk/jitwatch/ui/stage/StageManager.java and IStageClosedListener.java. The package is a shared coordination hub: 7 classes import it (JITWatchUI, MainConfigStage, NothingMountedStage, SandboxStage, SandboxConfigStage, VMLanguageConfigStage, VMLanguageList), so it has substantial incoming dependency. Its own project-level outgoing dependencies are narrow: StageManager only imports IMetaMember, ICompilationChangeListener, ReportStage, and UserInterfaceUtil, while IStageClosedListener only depends on javafx.stage.Stage. This does not show the package depending heavily on less-stable packages than itself.</t>
  </si>
  <si>
    <t>Inspected `byte-buddy-gradle-plugin/android-plugin-test/service-implementation2-lib/src/main/java/com/service/usage2/ServiceImplementation.java`, `.../module-info.java`, and `.../META-INF/services/com.service.definition.ServiceDefinition`. The package contains one class that only depends on `com.service.definition.ServiceDefinition`</t>
  </si>
  <si>
    <t>Inspected `javaparser-symbol-solver-testing/src/test/resources/issue113/com/foo/base/Widget.java`, which is the only class with exact package `com.foo.base`</t>
  </si>
  <si>
    <t>Inspected ui/src/main/java/org/adoptopenjdk/jitwatch/ui/report/locks/OptimisedLockRowBean.java, OptimisedLockRowBuilder.java, and ui/src/main/java/org/adoptopenjdk/jitwatch/ui/report/ReportStage.java. The target package has only two classes and only one observed internal importer: ReportStage imports the lock bean/builder and uses them for the ELIDED_LOCK branch (lines 23-24, 85, 156). Its outgoing dependencies are shared base/domain packages (`ui.report.AbstractReportRowBean`/`IReportRowBean`, `report.Report`, `report.ReportType`, `model.Compilation`, JavaFX), so there is no evidence that a stable package depends heavily on less-stable packages.</t>
  </si>
  <si>
    <t>Inspected ui/src/main/java/org/adoptopenjdk/jitwatch/jarscan/visualiser/HistoPlotter.java</t>
  </si>
  <si>
    <t>Inspected `javaparser-symbol-solver-testing/src/test/resources/modules/src/main/java/com.github.javaparser.testmodule/com/github/javaparser/testpackage/TestClass.java`, which contains a single class with no imports or references to other project packages, and `javaparser-symbol-solver-testing/src/test/resources/modules/src/main/java/com.github.javaparser.testmodule/module-info.java`, which only exports the package. The package therefore has no meaningful outgoing package dependencies to compare against incoming dependencies, so there is no evidence of an unstable dependency smell.</t>
  </si>
  <si>
    <t>Inspected `byte-buddy-gradle-plugin/android-plugin-test/service-implementation-lib/src/main/java/com/service/usage/ServiceImplementation.java`, `.../module-info.java`, `.../META-INF/services/com.service.definition.ServiceDefinition`, and `byte-buddy-gradle-plugin/android-plugin-test/service-definition-lib/src/main/java/com/service/definition/ServiceDefinition.java`. `com.service.usage` contains only one class, and its only code dependency is `com.service.definition.ServiceDefinition`. That interface is used by multiple other modules/tests (`service-implementation2-lib`, `aar-bytebuddy-target`, `app`), while `com.service.usage` itself is only referenced by its own service-registration file and module export, with no direct inbound code dependencies from other packages. This does not show a package depending on a less stable package, so UD is not present.</t>
  </si>
  <si>
    <t>Inspected src/main/java/org/apache/commons/io/file/spi/FileSystemProviders.java, src/main/java/org/apache/commons/io/file/spi/package-info.java, and src/test/java/org/apache/commons/io/file/spi/FileSystemProvidersTest.java. The package contains only one production class, and that class depends only on JDK types (java.net, java.nio.file, java.util) with no imports or calls to other commons-io packages. Repository-wide searches found no production code outside the package that references org.apache.commons.io.file.spi</t>
  </si>
  <si>
    <t>Inspected core/src/main/java/com/google/zxing/aztec/decoder/Decoder.java, core/src/main/java/com/google/zxing/aztec/AztecReader.java, core/src/test/java/com/google/zxing/aztec/decoder/DecoderTest.java, and core/src/test/java/com/google/zxing/aztec/encoder/EncoderTest.java. The package has a single production class, and the only production caller found is AztecReader. Decoder.java depends on shared infrastructure packages (`com.google.zxing`, `com.google.zxing.aztec`, `com.google.zxing.common`, and `com.google.zxing.common.reedsolomon`), which are reused across other barcode modules in the repo, so the package is not shown to depend on less-stable packages than itself.</t>
  </si>
  <si>
    <t>Inspected `javaparser-symbol-solver-testing/src/test/resources/ImplementedOrExtendedTypeResolution/pkg/another/A.java`, `.../TypeResolutionWithSameNameTest/02_ignore_static_non_type_import/another/A.java`, `.../02_ignore_static_non_type_import/another/MyEnum.java`, `.../03_single_type_import_precedes_package_member/another/A.java`, `.../04_package_member_precedes_asterisk_import/another/A.java`, and `.../05_asterisk_import_precedes_java_lang/another/String.java`. All `package another</t>
  </si>
  <si>
    <t>Inspected ui/src/main/java/org/adoptopenjdk/jitwatch/ui/report/ReportStage.java, AbstractReportRowBean.java, ReportPackageFilter.java, IReportRowBean.java, ReportStageType.java, plus consumers ui/src/main/java/org/adoptopenjdk/jitwatch/ui/main/JITWatchUI.java and ui/src/main/java/org/adoptopenjdk/jitwatch/ui/stage/StageManager.java. ReportStage has broad fan-out: it imports/uses org.adoptopenjdk.jitwatch.core, org.adoptopenjdk.jitwatch.report, org.adoptopenjdk.jitwatch.ui.main, org.adoptopenjdk.jitwatch.util, javafx, and four ui.report subpackages/cell helpers (suggestion, eliminatedallocation, locks, inlining, cell), while only 7 packages in the repo import exact-package types (ui.main, ui.stage, ui.report.cell, and the four ui.report subpackages). The package therefore has more outgoing than incoming coupling and depends on several low-fan-in report subpackages, which is consistent with Unstable Dependency.</t>
  </si>
  <si>
    <t>Inspected `javaparser-core-testing/src/test/resources/com/github/javaparser/issue_samples/issue_2627/DefaultStrategy.java`, the only file in the repository whose package declaration is exactly `groovy.transform.builder`. It has 42 imports (27 static, 15 regular) to external Groovy/ASM/JDK packages, but `rg` found no other repository source file importing or declaring `groovy.transform.builder`</t>
  </si>
  <si>
    <t>No Java source in the repo declares the exact package `com.github.javaparser.javasymbolsolver.javassist.symbols.included.jar` (exact-name search returned no matches). The only relevant files are `javaparser-symbol-solver-testing/src/test/resources/javassist_symbols/included_jar/src/com/github/javaparser/javasymbolsolver/javassist_symbols/included_jar/InterfaceIncludedJar.java` and `.../SuperClassIncludedJar.java`, which declare `com.github.javaparser.javasymbolsolver.javassist_symbols.included_jar`, and `javaparser-symbol-solver-testing/src/test/resources/javassist_symbols/README.md`, which describes this as a test jar used by `main_jar`. Since the target package itself is absent, there are no package-level incoming/outgoing dependencies to assess for unstable dependency.</t>
  </si>
  <si>
    <t>Inspected core/src/main/java/org/adoptopenjdk/jitwatch/compilation/codecache/CodeCacheEventWalker.java and CodeCacheWalkerResult.java plus ui/src/main/java/org/adoptopenjdk/jitwatch/ui/main/JITWatchUI.java and ui/src/main/java/org/adoptopenjdk/jitwatch/ui/nmethod/codecache/CodeCacheLayoutStage.java. The package is tiny (2 classes) and has only two incoming uses, both from UI classes</t>
  </si>
  <si>
    <t>Inspected javaparser-symbol-solver-testing/src/test/resources/issue1945/issue1945/interfaces/HairType.java, HairyAnimal.java, and HairTypeRenderer.java, plus issue1945.implementations/Sheep.java, WoolRenderer.java, HairTypeWool.java, and issue1945.main/MainIssue1945.java. The target package has no external outgoing dependencies: its three types only reference each other inside the same package. By contrast, multiple outside classes import and depend on these interfaces/abstract class. With zero outgoing external deps and several incoming deps, `issue1945.interfaces` is stable rather than unstable, so UD is not present.</t>
  </si>
  <si>
    <t>Inspected android/src/com/google/zxing/client/android/history/HistoryActivity.java, DBHelper.java, HistoryItemAdapter.java, HistoryManager.java, and HistoryItem.java. The package has clear fan-in: HistoryManager is imported by android/src/com/google/zxing/client/android/CaptureActivity.java and five classes under android/src/com/google/zxing/client/android/result/supplement/</t>
  </si>
  <si>
    <t>I inspected javaparser-core-testing/src/test/resources/com/github/javaparser/wiki_samples/TestFile.java, the only file under that directory. It declares package com.github.javaparser.wiki_samples (underscore), not the target package com.github.javaparser.wiki.samples, and a repo-wide search found no exact-match package declaration or references. With no classes observed in the target package and no outgoing dependency evidence, UD is not present.</t>
  </si>
  <si>
    <t>`android/src/com/google/zxing/client/android/clipboard/ClipboardInterface.java` is the only class in this package and it imports only Android framework types (`android.content.*`, `android.util.Log`), with no dependencies on other in-repo packages. The only in-repo references I found are from `android/src/com/google/zxing/client/android/CaptureActivity.java` and `android/src/com/google/zxing/client/android/share/ShareActivity.java` (2 callers). That makes this package a small leaf utility, not one that depends on less-stable project packages.</t>
  </si>
  <si>
    <t>Inspected ui/src/main/java/org/adoptopenjdk/jitwatch/ui/resize/IRedrawable.java and RateLimitedResizeListener.java: the package contains only two types, and RateLimitedResizeListener depends outward only on javafx.application.Platform and javafx.beans.value.* plus the local IRedrawable. Cross-references show three incoming users from ui.compilechain.CompileChainStage, ui.graphing.AbstractGraphStage, and ui.nmethod.AbstractNMethodStage, all of which import both resize types and instantiate RateLimitedResizeListener. With more incoming package references than external outgoing dependencies, the package does not look unstable.</t>
  </si>
  <si>
    <t>Inspected javaparser-core/src/main/java/com/github/javaparser/resolution/promotion/ConditionalExprHandler.java, which only imports com.github.javaparser.resolution.types.ResolvedType, plus javaparser-symbol-solver-core/src/main/java/com/github/javaparser/symbolsolver/resolution/promotion/ConditionalExprResolver.java, BooleanConditionalExprHandler.java, NumericConditionalExprHandler.java, ReferenceConditionalExprHandler.java, and TypeExtractor.java. The target package is referenced by only 6 Java files total, while com.github.javaparser.resolution.types is referenced by 150 Java files and is a core/shared package, so the dependency points from a smaller, less stable package to a much more widely depended-on one rather than to a less stable package.</t>
  </si>
  <si>
    <t>Inspected ui/src/main/java/org/adoptopenjdk/jitwatch/ui/viewer/AbstractTextViewerStage.java, TextViewerStage.java, and JournalViewerStage.java, plus ui/src/main/java/org/adoptopenjdk/jitwatch/ui/main/JITWatchUI.java. The target package contains only 3 classes and had just 1 external importer (JITWatchUI, which instantiates TextViewerStage at line 1273 and JournalViewerStage at line 1320). Its outgoing dependencies point to packages that are widely reused elsewhere in the repo: JITWatchUI is imported by 16 files, Viewer by 5, UserInterfaceUtil by 31, StringUtil by 10, and model.Compilation by 16. Based on this evidence, the package does not depend on less-stable packages than itself.</t>
  </si>
  <si>
    <t>Inspected `javaparser-symbol-solver-testing/src/test/resources/issue1526/compiles/a/b/c/{DataObject.java,ExampleClass.java,DataObjectFactory.java}`, `javaparser-symbol-solver-testing/src/test/resources/issue1526/errors/a/b/c/{DataObject.java,ExampleClass.java,DataObjectFactory.java}`, the paired `d/e/f/DataObjectFactory.java` fixtures, and `javaparser-symbol-solver-testing/src/test/java/com/github/javaparser/symbolsolver/Issue1526Test.java`. In `a.b.c`, only `ExampleClass` depends on `d.e.f.DataObjectFactory`</t>
  </si>
  <si>
    <t>Inspected javaparser-core-testing/src/test/resources/com/github/javaparser/storage/PrimaryType.java, PrimaryType2.java, and Z.java: all three are trivial test fixtures, and none contains any imports or references to other packages (PrimaryType is an empty class</t>
  </si>
  <si>
    <t>Inspected core/src/main/java/org/adoptopenjdk/jitwatch/treevisitor/TreeVisitor.java and ITreeVisitable.java: the package has only two classes and its outgoing dependencies are limited to org.adoptopenjdk.jitwatch.model types (IMetaMember, IReadOnlyJITDataModel, MetaClass, MetaPackage). Repository-wide references show 6 source packages depend on treevisitor, while 38 source packages import org.adoptopenjdk.jitwatch.model types, so treevisitor depends on a more stable, widely used package rather than a less stable one.</t>
  </si>
  <si>
    <t>Inspected src/main/java/org/apache/commons/lang3/event/EventListenerSupport.java, EventUtils.java, and package-info.java. The package has only two production classes and no production fan-in: rg found no references to EventListenerSupport or EventUtils outside src/test/java. Its outgoing dependencies are core Commons Lang utilities (ArrayUtils, Validate, ExceptionUtils, FailableConsumer, MethodUtils), which are themselves reused across many other production packages such as concurrent, text, builder, reflect, and function, so this package is not a stable, highly depended-on package depending on less-stable ones.</t>
  </si>
  <si>
    <t>Inspected [core/src/main/java/com/google/zxing/multi/qrcode/QRCodeMultiReader.java](//core/src/main/java/com/google/zxing/multi/qrcode/QRCodeMultiReader.java#L17) and [core/src/test/java/com/google/zxing/multi/qrcode/MultiQRCodeTestCase.java](//core/src/test/java/com/google/zxing/multi/qrcode/MultiQRCodeTestCase.java#L17). The package has only one production class</t>
  </si>
  <si>
    <t>Inspected ui/src/main/java/org/adoptopenjdk/jitwatch/ui/parserchooser/ParserChooser.java and IParserSelectedListener.java: the package contains only these two classes and has one internal dependency, org.adoptopenjdk.jitwatch.parser.ParserType. ParserType is also referenced outside the package in core/src/main/java/org/adoptopenjdk/jitwatch/launch/LaunchHeadless.java and ui/src/main/java/org/adoptopenjdk/jitwatch/ui/main/JITWatchUI.java, while the only incoming reference to parserchooser is from ui/src/main/java/org/adoptopenjdk/jitwatch/ui/main/JITWatchUI.java. That does not show the package depending on a less-stable in-repo package.</t>
  </si>
  <si>
    <t>Inspected `core/src/main/java/org/adoptopenjdk/jitwatch/histo/Histo.java`, `AbstractHistoVisitable.java`, `IHistoVisitable.java`, `CompileTimeHistoWalker.java`, `AttributeNameHistoWalker.java`, `InlineSizeHistoVisitable.java`, and `NativeSizeHistoWalker.java`. The package has only one production consumer, `ui/src/main/java/org/adoptopenjdk/jitwatch/ui/graphing/HistoStage.java`, plus two test imports (`core/src/test/java/org/adoptopenjdk/jitwatch/test/TestHisto.java` and `TestVmVersionDetector.java`). Its outgoing dependencies are mainly on broadly used core packages: `org.adoptopenjdk.jitwatch.model` is imported by 208 files, `org.adoptopenjdk.jitwatch.core.JITWatchConstants` by 138, `org.adoptopenjdk.jitwatch.compilation` by 24, and `org.adoptopenjdk.jitwatch.treevisitor` by 10. That pattern does not show the package depending on less-stable, less-used packages, so UD is not present.</t>
  </si>
  <si>
    <t>Inspected all classes under `core/src/main/java/org/adoptopenjdk/jitwatch/toplist/` and the only external consumers in `ui/src/main/java/org/adoptopenjdk/jitwatch/ui/toplist/TopListStage.java` and `TopListWrapper.java`. The package has limited fan-in from the UI layer, while its main dependencies are shared, broader utilities: `CompilationUtil` is imported by `hotthrow`, `intrinsic`, `toplist`, `report`, `bytecode`, `ui`, and tests</t>
  </si>
  <si>
    <t>`core/src/main/java/org/adoptopenjdk/jitwatch/model/assembly/x86/` contains only `AssemblyParserX86`, `X86Directive`, and `X86RegisterType`. `AssemblyParserX86` depends on shared `org.adoptopenjdk.jitwatch.model.assembly` types (`AbstractAssemblyParser`, `Architecture`, `AssemblyInstruction`, `AssemblyLabels`, `AssemblyUtil`) plus `JITWatchConstants` (`AssemblyParserX86.java`), and that parent assembly layer is reused broadly in `AbstractAssemblyParser.java`, `AssemblyUtil.java`, `HotSpotLogParser.java`, `AbstractMetaMember.java`, `IMetaMember.java`, and `ViewerAssembly.java`. The x86 package itself is only imported by `AbstractAssemblyParser.java`, `AssemblyUtil.java`, and `ViewerAssembly.java`, so I found no evidence that it depends on a less-stable package.</t>
  </si>
  <si>
    <t>`javaparser-symbol-solver-core/src/main/java/com/github/javaparser/symbolsolver/declarations/common/MethodDeclarationCommonLogic.java` is the only class in the package. It imports only core resolution abstractions and JDK types (`com.github.javaparser.resolution.*`, `InferenceContext`, `java.util.*`) and is directly reused by exactly three production classes: `JavassistMethodDeclaration`, `ReflectionMethodDeclaration`, and `JavaParserMethodDeclaration` in the same module. I found no evidence that this package depends on a less stable package than itself.</t>
  </si>
  <si>
    <t>Yes. In `core/src/main/java/org/adoptopenjdk/jitwatch/process/javap/ReflectionJavap.java`, the package depends on `org.adoptopenjdk.jitwatch.loader.DisposableURLClassLoader`</t>
  </si>
  <si>
    <t>Inspected android/src/com/google/zxing/client/android/camera/{CameraManager.java,CameraConfigurationManager.java,AutoFocusManager.java,PreviewCallback.java,FrontLightMode.java} and android-core/src/main/java/com/google/zxing/client/android/camera/CameraConfigurationUtils.java. The package has only 4 direct incoming clients outside the package (CaptureActivity, CaptureActivityHandler, ViewfinderView, AmbientLightManager), but its core classes depend outward on the narrower com.google.zxing.client.android.camera.open subpackage (OpenCamera, OpenCameraInterface, CameraFacing), which is only referenced from this package in the repo, plus PreferencesActivity and other external APIs. That pattern shows a package with modest afferent coupling depending on less-stable, narrowly used helpers, so UD is present.</t>
  </si>
  <si>
    <t>Inspected core/src/main/java/com/google/zxing/pdf417/detector/Detector.java and core/src/main/java/com/google/zxing/pdf417/detector/PDF417DetectorResult.java</t>
  </si>
  <si>
    <t>Inspected `javaparser-symbol-solver-testing/src/test/resources/issue4450/a/RefClass2.java`, `RefCycleClass.java`, `RefCycleClassFailure.java`, and `RefCycleEnum.java`. The only package-level dependencies inside `a` are intra-package static imports (`a.RefClass2`, `a.RefCycleClass`, `a.RefCycleEnum`) and same-package type references</t>
  </si>
  <si>
    <t>Inspected `javaparser-symbol-solver-testing/src/test/resources/issue241/TypeWithMemberType.java`, `javaparser-symbol-solver-testing/src/test/resources/Issue241.java.txt`, and `javaparser-symbol-solver-testing/src/test/java/com/github/javaparser/symbolsolver/Issue241Test.java`. The only class in package `issue241` declares a single nested interface and has no imports or references to other project packages, so the package has no meaningful outgoing dependencies</t>
  </si>
  <si>
    <t>Inspected android/src/com/google/zxing/client/android/camera/open/CameraFacing.java, OpenCamera.java, and OpenCameraInterface.java. The package contains only 3 classes, and it is used by just two classes in the sibling com.google.zxing.client.android.camera package (CameraManager and CameraConfigurationManager via imports). Its outgoing dependencies are limited to Android framework APIs (android.hardware.Camera, android.util.Log) and same-package types, so there is no evidence that a stable package depends heavily on a less-stable internal package.</t>
  </si>
  <si>
    <t>TP</t>
  </si>
  <si>
    <t>TN</t>
  </si>
  <si>
    <t>FP</t>
  </si>
  <si>
    <t>FN</t>
  </si>
  <si>
    <t>Pr</t>
  </si>
  <si>
    <t>Rc</t>
  </si>
  <si>
    <t>F1</t>
  </si>
  <si>
    <t>MCC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</si>
</sst>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BC12B-607B-4053-A542-9019566A0897}">
  <dimension ref="A1:J101"/>
  <sheetViews>
    <sheetView tabSelected="1" topLeftCell="E1" workbookViewId="0">
      <selection activeCell="K9" sqref="K9"/>
    </sheetView>
  </sheetViews>
  <sheetFormatPr defaultRowHeight="15" x14ac:dyDescent="0.25"/>
  <cols>
    <col min="1" max="1" width="14.5703125" bestFit="1" customWidth="1"/>
    <col min="2" max="2" width="20.28515625" bestFit="1" customWidth="1"/>
    <col min="3" max="3" width="66.5703125" bestFit="1" customWidth="1"/>
    <col min="4" max="4" width="126" bestFit="1" customWidth="1"/>
    <col min="5" max="5" width="16.85546875" style="3" bestFit="1" customWidth="1"/>
    <col min="6" max="6" width="14" style="3" bestFit="1" customWidth="1"/>
    <col min="7" max="7" width="9.140625" style="3"/>
  </cols>
  <sheetData>
    <row r="1" spans="1:10" x14ac:dyDescent="0.25">
      <c r="A1" s="1" t="s">
        <v>0</v>
      </c>
      <c r="B1" s="1" t="s">
        <v>1</v>
      </c>
      <c r="C1" s="1" t="s">
        <v>2</v>
      </c>
      <c r="D1" s="1" t="s">
        <v>3</v>
      </c>
      <c r="E1" s="2" t="s">
        <v>4</v>
      </c>
      <c r="F1" s="2" t="s">
        <v>212</v>
      </c>
      <c r="G1" s="2" t="s">
        <v>213</v>
      </c>
    </row>
    <row r="2" spans="1:10" x14ac:dyDescent="0.25">
      <c r="A2" t="s">
        <v>5</v>
      </c>
      <c r="B2" t="s">
        <v>6</v>
      </c>
      <c r="C2" t="s">
        <v>65</v>
      </c>
      <c r="D2" t="s">
        <v>66</v>
      </c>
      <c r="E2" s="3">
        <v>1596</v>
      </c>
      <c r="F2" s="3">
        <v>0</v>
      </c>
      <c r="G2" s="3">
        <f>VLOOKUP(C2,Planilha1!$A$1:$B$100,2,0)</f>
        <v>0</v>
      </c>
      <c r="I2" t="s">
        <v>314</v>
      </c>
      <c r="J2">
        <f>COUNTIFS(F2:F101,1,G2:G101,1)</f>
        <v>2</v>
      </c>
    </row>
    <row r="3" spans="1:10" x14ac:dyDescent="0.25">
      <c r="A3" t="s">
        <v>5</v>
      </c>
      <c r="B3" t="s">
        <v>6</v>
      </c>
      <c r="C3" t="s">
        <v>187</v>
      </c>
      <c r="D3" t="s">
        <v>188</v>
      </c>
      <c r="E3" s="3">
        <v>855</v>
      </c>
      <c r="F3" s="3">
        <v>0</v>
      </c>
      <c r="G3" s="3">
        <f>VLOOKUP(C3,Planilha1!$A$1:$B$100,2,0)</f>
        <v>0</v>
      </c>
      <c r="I3" t="s">
        <v>315</v>
      </c>
      <c r="J3">
        <f>COUNTIFS(F2:F101,0,G2:G101,0)</f>
        <v>87</v>
      </c>
    </row>
    <row r="4" spans="1:10" x14ac:dyDescent="0.25">
      <c r="A4" t="s">
        <v>5</v>
      </c>
      <c r="B4" t="s">
        <v>6</v>
      </c>
      <c r="C4" t="s">
        <v>92</v>
      </c>
      <c r="D4" t="s">
        <v>93</v>
      </c>
      <c r="E4" s="3">
        <v>1472</v>
      </c>
      <c r="F4" s="3">
        <v>1</v>
      </c>
      <c r="G4" s="3">
        <f>VLOOKUP(C4,Planilha1!$A$1:$B$100,2,0)</f>
        <v>1</v>
      </c>
      <c r="I4" t="s">
        <v>316</v>
      </c>
      <c r="J4">
        <f>COUNTIFS(F2:F101,0,G2:G101,1)</f>
        <v>3</v>
      </c>
    </row>
    <row r="5" spans="1:10" x14ac:dyDescent="0.25">
      <c r="A5" t="s">
        <v>5</v>
      </c>
      <c r="B5" t="s">
        <v>6</v>
      </c>
      <c r="C5" t="s">
        <v>179</v>
      </c>
      <c r="D5" t="s">
        <v>180</v>
      </c>
      <c r="E5" s="3">
        <v>662</v>
      </c>
      <c r="F5" s="3">
        <v>0</v>
      </c>
      <c r="G5" s="3">
        <f>VLOOKUP(C5,Planilha1!$A$1:$B$100,2,0)</f>
        <v>0</v>
      </c>
      <c r="I5" t="s">
        <v>317</v>
      </c>
      <c r="J5">
        <f>COUNTIFS(F2:F101,1,G2:G101,0)</f>
        <v>8</v>
      </c>
    </row>
    <row r="6" spans="1:10" x14ac:dyDescent="0.25">
      <c r="A6" t="s">
        <v>15</v>
      </c>
      <c r="B6" t="s">
        <v>6</v>
      </c>
      <c r="C6" t="s">
        <v>147</v>
      </c>
      <c r="D6" t="s">
        <v>148</v>
      </c>
      <c r="E6" s="3">
        <v>551</v>
      </c>
      <c r="F6" s="3">
        <v>0</v>
      </c>
      <c r="G6" s="3">
        <f>VLOOKUP(C6,Planilha1!$A$1:$B$100,2,0)</f>
        <v>0</v>
      </c>
    </row>
    <row r="7" spans="1:10" x14ac:dyDescent="0.25">
      <c r="A7" t="s">
        <v>5</v>
      </c>
      <c r="B7" t="s">
        <v>6</v>
      </c>
      <c r="C7" t="s">
        <v>59</v>
      </c>
      <c r="D7" t="s">
        <v>60</v>
      </c>
      <c r="E7" s="3">
        <v>549</v>
      </c>
      <c r="F7" s="3">
        <v>0</v>
      </c>
      <c r="G7" s="3">
        <f>VLOOKUP(C7,Planilha1!$A$1:$B$100,2,0)</f>
        <v>0</v>
      </c>
      <c r="I7" t="s">
        <v>318</v>
      </c>
      <c r="J7">
        <f>IFERROR(J2/(J2+J4),0)</f>
        <v>0.4</v>
      </c>
    </row>
    <row r="8" spans="1:10" x14ac:dyDescent="0.25">
      <c r="A8" t="s">
        <v>5</v>
      </c>
      <c r="B8" t="s">
        <v>6</v>
      </c>
      <c r="C8" t="s">
        <v>193</v>
      </c>
      <c r="D8" t="s">
        <v>194</v>
      </c>
      <c r="E8" s="3">
        <v>1164</v>
      </c>
      <c r="F8" s="3">
        <v>0</v>
      </c>
      <c r="G8" s="3">
        <f>VLOOKUP(C8,Planilha1!$A$1:$B$100,2,0)</f>
        <v>0</v>
      </c>
      <c r="I8" t="s">
        <v>319</v>
      </c>
      <c r="J8">
        <f>IFERROR(J2/(J2+J5),0)</f>
        <v>0.2</v>
      </c>
    </row>
    <row r="9" spans="1:10" x14ac:dyDescent="0.25">
      <c r="A9" t="s">
        <v>15</v>
      </c>
      <c r="B9" t="s">
        <v>6</v>
      </c>
      <c r="C9" t="s">
        <v>15</v>
      </c>
      <c r="D9" t="s">
        <v>199</v>
      </c>
      <c r="E9" s="3">
        <v>300</v>
      </c>
      <c r="F9" s="3">
        <v>0</v>
      </c>
      <c r="G9" s="3">
        <f>VLOOKUP(C9,Planilha1!$A$1:$B$100,2,0)</f>
        <v>0</v>
      </c>
      <c r="I9" t="s">
        <v>320</v>
      </c>
      <c r="J9">
        <f>IFERROR(2*J7*J8/(J7+J8),0)</f>
        <v>0.26666666666666666</v>
      </c>
    </row>
    <row r="10" spans="1:10" x14ac:dyDescent="0.25">
      <c r="A10" t="s">
        <v>15</v>
      </c>
      <c r="B10" t="s">
        <v>6</v>
      </c>
      <c r="C10" t="s">
        <v>34</v>
      </c>
      <c r="D10" t="s">
        <v>35</v>
      </c>
      <c r="E10" s="3">
        <v>298</v>
      </c>
      <c r="F10" s="3">
        <v>0</v>
      </c>
      <c r="G10" s="3">
        <f>VLOOKUP(C10,Planilha1!$A$1:$B$100,2,0)</f>
        <v>0</v>
      </c>
      <c r="I10" t="s">
        <v>321</v>
      </c>
      <c r="J10">
        <f>IFERROR(((J2*J3)-(J4*J5))/SQRT((J2+J4)*(J2+J5)*(J3+J4)*(J3+J5)),0)</f>
        <v>0.22941573387056177</v>
      </c>
    </row>
    <row r="11" spans="1:10" x14ac:dyDescent="0.25">
      <c r="A11" t="s">
        <v>5</v>
      </c>
      <c r="B11" t="s">
        <v>6</v>
      </c>
      <c r="C11" t="s">
        <v>112</v>
      </c>
      <c r="D11" t="s">
        <v>113</v>
      </c>
      <c r="E11" s="3">
        <v>702</v>
      </c>
      <c r="F11" s="3">
        <v>0</v>
      </c>
      <c r="G11" s="3">
        <f>VLOOKUP(C11,Planilha1!$A$1:$B$100,2,0)</f>
        <v>0</v>
      </c>
    </row>
    <row r="12" spans="1:10" x14ac:dyDescent="0.25">
      <c r="A12" t="s">
        <v>5</v>
      </c>
      <c r="B12" t="s">
        <v>6</v>
      </c>
      <c r="C12" t="s">
        <v>55</v>
      </c>
      <c r="D12" t="s">
        <v>56</v>
      </c>
      <c r="E12" s="3">
        <v>652</v>
      </c>
      <c r="F12" s="3">
        <v>0</v>
      </c>
      <c r="G12" s="3">
        <f>VLOOKUP(C12,Planilha1!$A$1:$B$100,2,0)</f>
        <v>0</v>
      </c>
    </row>
    <row r="13" spans="1:10" x14ac:dyDescent="0.25">
      <c r="A13" t="s">
        <v>15</v>
      </c>
      <c r="B13" t="s">
        <v>6</v>
      </c>
      <c r="C13" t="s">
        <v>183</v>
      </c>
      <c r="D13" t="s">
        <v>184</v>
      </c>
      <c r="E13" s="3">
        <v>299</v>
      </c>
      <c r="F13" s="3">
        <v>0</v>
      </c>
      <c r="G13" s="3">
        <f>VLOOKUP(C13,Planilha1!$A$1:$B$100,2,0)</f>
        <v>0</v>
      </c>
    </row>
    <row r="14" spans="1:10" x14ac:dyDescent="0.25">
      <c r="A14" t="s">
        <v>16</v>
      </c>
      <c r="B14" t="s">
        <v>6</v>
      </c>
      <c r="C14" t="s">
        <v>88</v>
      </c>
      <c r="D14" t="s">
        <v>89</v>
      </c>
      <c r="E14" s="3">
        <v>305</v>
      </c>
      <c r="F14" s="3">
        <v>0</v>
      </c>
      <c r="G14" s="3">
        <f>VLOOKUP(C14,Planilha1!$A$1:$B$100,2,0)</f>
        <v>0</v>
      </c>
    </row>
    <row r="15" spans="1:10" x14ac:dyDescent="0.25">
      <c r="A15" t="s">
        <v>16</v>
      </c>
      <c r="B15" t="s">
        <v>6</v>
      </c>
      <c r="C15" t="s">
        <v>40</v>
      </c>
      <c r="D15" t="s">
        <v>41</v>
      </c>
      <c r="E15" s="3">
        <v>652</v>
      </c>
      <c r="F15" s="3">
        <v>0</v>
      </c>
      <c r="G15" s="3">
        <f>VLOOKUP(C15,Planilha1!$A$1:$B$100,2,0)</f>
        <v>0</v>
      </c>
    </row>
    <row r="16" spans="1:10" x14ac:dyDescent="0.25">
      <c r="A16" t="s">
        <v>75</v>
      </c>
      <c r="B16" t="s">
        <v>6</v>
      </c>
      <c r="C16" t="s">
        <v>118</v>
      </c>
      <c r="D16" t="s">
        <v>119</v>
      </c>
      <c r="E16" s="3">
        <v>381</v>
      </c>
      <c r="F16" s="3">
        <v>0</v>
      </c>
      <c r="G16" s="3">
        <f>VLOOKUP(C16,Planilha1!$A$1:$B$100,2,0)</f>
        <v>0</v>
      </c>
    </row>
    <row r="17" spans="1:7" x14ac:dyDescent="0.25">
      <c r="A17" t="s">
        <v>5</v>
      </c>
      <c r="B17" t="s">
        <v>6</v>
      </c>
      <c r="C17" t="s">
        <v>11</v>
      </c>
      <c r="D17" t="s">
        <v>12</v>
      </c>
      <c r="E17" s="3">
        <v>1361</v>
      </c>
      <c r="F17" s="3">
        <v>0</v>
      </c>
      <c r="G17" s="3">
        <f>VLOOKUP(C17,Planilha1!$A$1:$B$100,2,0)</f>
        <v>0</v>
      </c>
    </row>
    <row r="18" spans="1:7" x14ac:dyDescent="0.25">
      <c r="A18" t="s">
        <v>5</v>
      </c>
      <c r="B18" t="s">
        <v>6</v>
      </c>
      <c r="C18" t="s">
        <v>114</v>
      </c>
      <c r="D18" t="s">
        <v>115</v>
      </c>
      <c r="E18" s="3">
        <v>1162</v>
      </c>
      <c r="F18" s="3">
        <v>1</v>
      </c>
      <c r="G18" s="3">
        <f>VLOOKUP(C18,Planilha1!$A$1:$B$100,2,0)</f>
        <v>0</v>
      </c>
    </row>
    <row r="19" spans="1:7" x14ac:dyDescent="0.25">
      <c r="A19" t="s">
        <v>16</v>
      </c>
      <c r="B19" t="s">
        <v>6</v>
      </c>
      <c r="C19" t="s">
        <v>202</v>
      </c>
      <c r="D19" t="s">
        <v>203</v>
      </c>
      <c r="E19" s="3">
        <v>498</v>
      </c>
      <c r="F19" s="3">
        <v>0</v>
      </c>
      <c r="G19" s="3">
        <f>VLOOKUP(C19,Planilha1!$A$1:$B$100,2,0)</f>
        <v>1</v>
      </c>
    </row>
    <row r="20" spans="1:7" x14ac:dyDescent="0.25">
      <c r="A20" t="s">
        <v>5</v>
      </c>
      <c r="B20" t="s">
        <v>6</v>
      </c>
      <c r="C20" t="s">
        <v>23</v>
      </c>
      <c r="D20" t="s">
        <v>24</v>
      </c>
      <c r="E20" s="3">
        <v>599</v>
      </c>
      <c r="F20" s="3">
        <v>0</v>
      </c>
      <c r="G20" s="3">
        <f>VLOOKUP(C20,Planilha1!$A$1:$B$100,2,0)</f>
        <v>0</v>
      </c>
    </row>
    <row r="21" spans="1:7" x14ac:dyDescent="0.25">
      <c r="A21" t="s">
        <v>15</v>
      </c>
      <c r="B21" t="s">
        <v>6</v>
      </c>
      <c r="C21" t="s">
        <v>102</v>
      </c>
      <c r="D21" t="s">
        <v>103</v>
      </c>
      <c r="E21" s="3">
        <v>307</v>
      </c>
      <c r="F21" s="3">
        <v>0</v>
      </c>
      <c r="G21" s="3">
        <f>VLOOKUP(C21,Planilha1!$A$1:$B$100,2,0)</f>
        <v>0</v>
      </c>
    </row>
    <row r="22" spans="1:7" x14ac:dyDescent="0.25">
      <c r="A22" t="s">
        <v>5</v>
      </c>
      <c r="B22" t="s">
        <v>6</v>
      </c>
      <c r="C22" t="s">
        <v>69</v>
      </c>
      <c r="D22" t="s">
        <v>70</v>
      </c>
      <c r="E22" s="3">
        <v>697</v>
      </c>
      <c r="F22" s="3">
        <v>0</v>
      </c>
      <c r="G22" s="3">
        <f>VLOOKUP(C22,Planilha1!$A$1:$B$100,2,0)</f>
        <v>0</v>
      </c>
    </row>
    <row r="23" spans="1:7" x14ac:dyDescent="0.25">
      <c r="A23" t="s">
        <v>16</v>
      </c>
      <c r="B23" t="s">
        <v>6</v>
      </c>
      <c r="C23" t="s">
        <v>17</v>
      </c>
      <c r="D23" t="s">
        <v>18</v>
      </c>
      <c r="E23" s="3">
        <v>598</v>
      </c>
      <c r="F23" s="3">
        <v>0</v>
      </c>
      <c r="G23" s="3">
        <f>VLOOKUP(C23,Planilha1!$A$1:$B$100,2,0)</f>
        <v>0</v>
      </c>
    </row>
    <row r="24" spans="1:7" x14ac:dyDescent="0.25">
      <c r="A24" t="s">
        <v>5</v>
      </c>
      <c r="B24" t="s">
        <v>6</v>
      </c>
      <c r="C24" t="s">
        <v>13</v>
      </c>
      <c r="D24" t="s">
        <v>14</v>
      </c>
      <c r="E24" s="3">
        <v>749</v>
      </c>
      <c r="F24" s="3">
        <v>0</v>
      </c>
      <c r="G24" s="3">
        <f>VLOOKUP(C24,Planilha1!$A$1:$B$100,2,0)</f>
        <v>0</v>
      </c>
    </row>
    <row r="25" spans="1:7" x14ac:dyDescent="0.25">
      <c r="A25" t="s">
        <v>25</v>
      </c>
      <c r="B25" t="s">
        <v>6</v>
      </c>
      <c r="C25" t="s">
        <v>108</v>
      </c>
      <c r="D25" t="s">
        <v>109</v>
      </c>
      <c r="E25" s="3">
        <v>437</v>
      </c>
      <c r="F25" s="3">
        <v>0</v>
      </c>
      <c r="G25" s="3">
        <f>VLOOKUP(C25,Planilha1!$A$1:$B$100,2,0)</f>
        <v>0</v>
      </c>
    </row>
    <row r="26" spans="1:7" x14ac:dyDescent="0.25">
      <c r="A26" t="s">
        <v>16</v>
      </c>
      <c r="B26" t="s">
        <v>6</v>
      </c>
      <c r="C26" t="s">
        <v>145</v>
      </c>
      <c r="D26" t="s">
        <v>146</v>
      </c>
      <c r="E26" s="3">
        <v>303</v>
      </c>
      <c r="F26" s="3">
        <v>0</v>
      </c>
      <c r="G26" s="3">
        <f>VLOOKUP(C26,Planilha1!$A$1:$B$100,2,0)</f>
        <v>0</v>
      </c>
    </row>
    <row r="27" spans="1:7" x14ac:dyDescent="0.25">
      <c r="A27" t="s">
        <v>15</v>
      </c>
      <c r="B27" t="s">
        <v>6</v>
      </c>
      <c r="C27" t="s">
        <v>185</v>
      </c>
      <c r="D27" t="s">
        <v>186</v>
      </c>
      <c r="E27" s="3">
        <v>438</v>
      </c>
      <c r="F27" s="3">
        <v>0</v>
      </c>
      <c r="G27" s="3">
        <f>VLOOKUP(C27,Planilha1!$A$1:$B$100,2,0)</f>
        <v>0</v>
      </c>
    </row>
    <row r="28" spans="1:7" x14ac:dyDescent="0.25">
      <c r="A28" t="s">
        <v>16</v>
      </c>
      <c r="B28" t="s">
        <v>6</v>
      </c>
      <c r="C28" t="s">
        <v>157</v>
      </c>
      <c r="D28" t="s">
        <v>158</v>
      </c>
      <c r="E28" s="3">
        <v>567</v>
      </c>
      <c r="F28" s="3">
        <v>0</v>
      </c>
      <c r="G28" s="3">
        <f>VLOOKUP(C28,Planilha1!$A$1:$B$100,2,0)</f>
        <v>0</v>
      </c>
    </row>
    <row r="29" spans="1:7" x14ac:dyDescent="0.25">
      <c r="A29" t="s">
        <v>5</v>
      </c>
      <c r="B29" t="s">
        <v>6</v>
      </c>
      <c r="C29" t="s">
        <v>195</v>
      </c>
      <c r="D29" t="s">
        <v>196</v>
      </c>
      <c r="E29" s="3">
        <v>738</v>
      </c>
      <c r="F29" s="3">
        <v>0</v>
      </c>
      <c r="G29" s="3">
        <f>VLOOKUP(C29,Planilha1!$A$1:$B$100,2,0)</f>
        <v>0</v>
      </c>
    </row>
    <row r="30" spans="1:7" x14ac:dyDescent="0.25">
      <c r="A30" t="s">
        <v>15</v>
      </c>
      <c r="B30" t="s">
        <v>6</v>
      </c>
      <c r="C30" t="s">
        <v>100</v>
      </c>
      <c r="D30" t="s">
        <v>101</v>
      </c>
      <c r="E30" s="3">
        <v>344</v>
      </c>
      <c r="F30" s="3">
        <v>0</v>
      </c>
      <c r="G30" s="3">
        <f>VLOOKUP(C30,Planilha1!$A$1:$B$100,2,0)</f>
        <v>0</v>
      </c>
    </row>
    <row r="31" spans="1:7" x14ac:dyDescent="0.25">
      <c r="A31" t="s">
        <v>5</v>
      </c>
      <c r="B31" t="s">
        <v>6</v>
      </c>
      <c r="C31" t="s">
        <v>171</v>
      </c>
      <c r="D31" t="s">
        <v>172</v>
      </c>
      <c r="E31" s="3">
        <v>825</v>
      </c>
      <c r="F31" s="3">
        <v>0</v>
      </c>
      <c r="G31" s="3">
        <f>VLOOKUP(C31,Planilha1!$A$1:$B$100,2,0)</f>
        <v>0</v>
      </c>
    </row>
    <row r="32" spans="1:7" x14ac:dyDescent="0.25">
      <c r="A32" t="s">
        <v>5</v>
      </c>
      <c r="B32" t="s">
        <v>6</v>
      </c>
      <c r="C32" t="s">
        <v>28</v>
      </c>
      <c r="D32" t="s">
        <v>29</v>
      </c>
      <c r="E32" s="3">
        <v>1255</v>
      </c>
      <c r="F32" s="3">
        <v>0</v>
      </c>
      <c r="G32" s="3">
        <f>VLOOKUP(C32,Planilha1!$A$1:$B$100,2,0)</f>
        <v>0</v>
      </c>
    </row>
    <row r="33" spans="1:7" x14ac:dyDescent="0.25">
      <c r="A33" t="s">
        <v>25</v>
      </c>
      <c r="B33" t="s">
        <v>6</v>
      </c>
      <c r="C33" t="s">
        <v>189</v>
      </c>
      <c r="D33" t="s">
        <v>190</v>
      </c>
      <c r="E33" s="3">
        <v>303</v>
      </c>
      <c r="F33" s="3">
        <v>0</v>
      </c>
      <c r="G33" s="3">
        <f>VLOOKUP(C33,Planilha1!$A$1:$B$100,2,0)</f>
        <v>0</v>
      </c>
    </row>
    <row r="34" spans="1:7" x14ac:dyDescent="0.25">
      <c r="A34" t="s">
        <v>15</v>
      </c>
      <c r="B34" t="s">
        <v>6</v>
      </c>
      <c r="C34" t="s">
        <v>129</v>
      </c>
      <c r="D34" t="s">
        <v>130</v>
      </c>
      <c r="E34" s="3">
        <v>298</v>
      </c>
      <c r="F34" s="3">
        <v>0</v>
      </c>
      <c r="G34" s="3">
        <f>VLOOKUP(C34,Planilha1!$A$1:$B$100,2,0)</f>
        <v>0</v>
      </c>
    </row>
    <row r="35" spans="1:7" x14ac:dyDescent="0.25">
      <c r="A35" t="s">
        <v>5</v>
      </c>
      <c r="B35" t="s">
        <v>6</v>
      </c>
      <c r="C35" t="s">
        <v>169</v>
      </c>
      <c r="D35" t="s">
        <v>170</v>
      </c>
      <c r="E35" s="3">
        <v>1489</v>
      </c>
      <c r="F35" s="3">
        <v>0</v>
      </c>
      <c r="G35" s="3">
        <f>VLOOKUP(C35,Planilha1!$A$1:$B$100,2,0)</f>
        <v>0</v>
      </c>
    </row>
    <row r="36" spans="1:7" x14ac:dyDescent="0.25">
      <c r="A36" t="s">
        <v>5</v>
      </c>
      <c r="B36" t="s">
        <v>6</v>
      </c>
      <c r="C36" t="s">
        <v>86</v>
      </c>
      <c r="D36" t="s">
        <v>87</v>
      </c>
      <c r="E36" s="3">
        <v>1037</v>
      </c>
      <c r="F36" s="3">
        <v>0</v>
      </c>
      <c r="G36" s="3">
        <f>VLOOKUP(C36,Planilha1!$A$1:$B$100,2,0)</f>
        <v>0</v>
      </c>
    </row>
    <row r="37" spans="1:7" x14ac:dyDescent="0.25">
      <c r="A37" t="s">
        <v>5</v>
      </c>
      <c r="B37" t="s">
        <v>6</v>
      </c>
      <c r="C37" t="s">
        <v>50</v>
      </c>
      <c r="D37" t="s">
        <v>51</v>
      </c>
      <c r="E37" s="3">
        <v>633</v>
      </c>
      <c r="F37" s="3">
        <v>0</v>
      </c>
      <c r="G37" s="3">
        <f>VLOOKUP(C37,Planilha1!$A$1:$B$100,2,0)</f>
        <v>0</v>
      </c>
    </row>
    <row r="38" spans="1:7" x14ac:dyDescent="0.25">
      <c r="A38" t="s">
        <v>25</v>
      </c>
      <c r="B38" t="s">
        <v>6</v>
      </c>
      <c r="C38" t="s">
        <v>94</v>
      </c>
      <c r="D38" t="s">
        <v>95</v>
      </c>
      <c r="E38" s="3">
        <v>396</v>
      </c>
      <c r="F38" s="3">
        <v>0</v>
      </c>
      <c r="G38" s="3">
        <f>VLOOKUP(C38,Planilha1!$A$1:$B$100,2,0)</f>
        <v>0</v>
      </c>
    </row>
    <row r="39" spans="1:7" x14ac:dyDescent="0.25">
      <c r="A39" t="s">
        <v>16</v>
      </c>
      <c r="B39" t="s">
        <v>6</v>
      </c>
      <c r="C39" t="s">
        <v>42</v>
      </c>
      <c r="D39" t="s">
        <v>43</v>
      </c>
      <c r="E39" s="3">
        <v>884</v>
      </c>
      <c r="F39" s="3">
        <v>1</v>
      </c>
      <c r="G39" s="3">
        <f>VLOOKUP(C39,Planilha1!$A$1:$B$100,2,0)</f>
        <v>0</v>
      </c>
    </row>
    <row r="40" spans="1:7" x14ac:dyDescent="0.25">
      <c r="A40" t="s">
        <v>15</v>
      </c>
      <c r="B40" t="s">
        <v>6</v>
      </c>
      <c r="C40" t="s">
        <v>84</v>
      </c>
      <c r="D40" t="s">
        <v>85</v>
      </c>
      <c r="E40" s="3">
        <v>298</v>
      </c>
      <c r="F40" s="3">
        <v>0</v>
      </c>
      <c r="G40" s="3">
        <f>VLOOKUP(C40,Planilha1!$A$1:$B$100,2,0)</f>
        <v>0</v>
      </c>
    </row>
    <row r="41" spans="1:7" x14ac:dyDescent="0.25">
      <c r="A41" t="s">
        <v>5</v>
      </c>
      <c r="B41" t="s">
        <v>6</v>
      </c>
      <c r="C41" t="s">
        <v>155</v>
      </c>
      <c r="D41" t="s">
        <v>156</v>
      </c>
      <c r="E41" s="3">
        <v>1217</v>
      </c>
      <c r="F41" s="3">
        <v>0</v>
      </c>
      <c r="G41" s="3">
        <f>VLOOKUP(C41,Planilha1!$A$1:$B$100,2,0)</f>
        <v>0</v>
      </c>
    </row>
    <row r="42" spans="1:7" x14ac:dyDescent="0.25">
      <c r="A42" t="s">
        <v>16</v>
      </c>
      <c r="B42" t="s">
        <v>6</v>
      </c>
      <c r="C42" t="s">
        <v>131</v>
      </c>
      <c r="D42" t="s">
        <v>132</v>
      </c>
      <c r="E42" s="3">
        <v>511</v>
      </c>
      <c r="F42" s="3">
        <v>0</v>
      </c>
      <c r="G42" s="3">
        <f>VLOOKUP(C42,Planilha1!$A$1:$B$100,2,0)</f>
        <v>0</v>
      </c>
    </row>
    <row r="43" spans="1:7" x14ac:dyDescent="0.25">
      <c r="A43" t="s">
        <v>15</v>
      </c>
      <c r="B43" t="s">
        <v>6</v>
      </c>
      <c r="C43" t="s">
        <v>38</v>
      </c>
      <c r="D43" t="s">
        <v>39</v>
      </c>
      <c r="E43" s="3">
        <v>352</v>
      </c>
      <c r="F43" s="3">
        <v>0</v>
      </c>
      <c r="G43" s="3">
        <f>VLOOKUP(C43,Planilha1!$A$1:$B$100,2,0)</f>
        <v>0</v>
      </c>
    </row>
    <row r="44" spans="1:7" x14ac:dyDescent="0.25">
      <c r="A44" t="s">
        <v>5</v>
      </c>
      <c r="B44" t="s">
        <v>6</v>
      </c>
      <c r="C44" t="s">
        <v>208</v>
      </c>
      <c r="D44" t="s">
        <v>209</v>
      </c>
      <c r="E44" s="3">
        <v>1015</v>
      </c>
      <c r="F44" s="3">
        <v>0</v>
      </c>
      <c r="G44" s="3">
        <f>VLOOKUP(C44,Planilha1!$A$1:$B$100,2,0)</f>
        <v>0</v>
      </c>
    </row>
    <row r="45" spans="1:7" x14ac:dyDescent="0.25">
      <c r="A45" t="s">
        <v>5</v>
      </c>
      <c r="B45" t="s">
        <v>6</v>
      </c>
      <c r="C45" t="s">
        <v>19</v>
      </c>
      <c r="D45" t="s">
        <v>20</v>
      </c>
      <c r="E45" s="3">
        <v>845</v>
      </c>
      <c r="F45" s="3">
        <v>0</v>
      </c>
      <c r="G45" s="3">
        <f>VLOOKUP(C45,Planilha1!$A$1:$B$100,2,0)</f>
        <v>0</v>
      </c>
    </row>
    <row r="46" spans="1:7" x14ac:dyDescent="0.25">
      <c r="A46" t="s">
        <v>75</v>
      </c>
      <c r="B46" t="s">
        <v>6</v>
      </c>
      <c r="C46" t="s">
        <v>76</v>
      </c>
      <c r="D46" t="s">
        <v>77</v>
      </c>
      <c r="E46" s="3">
        <v>383</v>
      </c>
      <c r="F46" s="3">
        <v>0</v>
      </c>
      <c r="G46" s="3">
        <f>VLOOKUP(C46,Planilha1!$A$1:$B$100,2,0)</f>
        <v>0</v>
      </c>
    </row>
    <row r="47" spans="1:7" x14ac:dyDescent="0.25">
      <c r="A47" t="s">
        <v>5</v>
      </c>
      <c r="B47" t="s">
        <v>6</v>
      </c>
      <c r="C47" t="s">
        <v>63</v>
      </c>
      <c r="D47" t="s">
        <v>64</v>
      </c>
      <c r="E47" s="3">
        <v>668</v>
      </c>
      <c r="F47" s="3">
        <v>0</v>
      </c>
      <c r="G47" s="3">
        <f>VLOOKUP(C47,Planilha1!$A$1:$B$100,2,0)</f>
        <v>0</v>
      </c>
    </row>
    <row r="48" spans="1:7" x14ac:dyDescent="0.25">
      <c r="A48" t="s">
        <v>25</v>
      </c>
      <c r="B48" t="s">
        <v>6</v>
      </c>
      <c r="C48" t="s">
        <v>149</v>
      </c>
      <c r="D48" t="s">
        <v>150</v>
      </c>
      <c r="E48" s="3">
        <v>438</v>
      </c>
      <c r="F48" s="3">
        <v>0</v>
      </c>
      <c r="G48" s="3">
        <f>VLOOKUP(C48,Planilha1!$A$1:$B$100,2,0)</f>
        <v>0</v>
      </c>
    </row>
    <row r="49" spans="1:7" x14ac:dyDescent="0.25">
      <c r="A49" t="s">
        <v>5</v>
      </c>
      <c r="B49" t="s">
        <v>6</v>
      </c>
      <c r="C49" t="s">
        <v>71</v>
      </c>
      <c r="D49" t="s">
        <v>72</v>
      </c>
      <c r="E49" s="3">
        <v>738</v>
      </c>
      <c r="F49" s="3">
        <v>0</v>
      </c>
      <c r="G49" s="3">
        <f>VLOOKUP(C49,Planilha1!$A$1:$B$100,2,0)</f>
        <v>0</v>
      </c>
    </row>
    <row r="50" spans="1:7" x14ac:dyDescent="0.25">
      <c r="A50" t="s">
        <v>75</v>
      </c>
      <c r="B50" t="s">
        <v>6</v>
      </c>
      <c r="C50" t="s">
        <v>120</v>
      </c>
      <c r="D50" t="s">
        <v>140</v>
      </c>
      <c r="E50" s="3">
        <v>351</v>
      </c>
      <c r="F50" s="3">
        <v>0</v>
      </c>
      <c r="G50" s="3">
        <f>VLOOKUP(C50,Planilha1!$A$1:$B$100,2,0)</f>
        <v>0</v>
      </c>
    </row>
    <row r="51" spans="1:7" x14ac:dyDescent="0.25">
      <c r="A51" t="s">
        <v>15</v>
      </c>
      <c r="B51" t="s">
        <v>6</v>
      </c>
      <c r="C51" t="s">
        <v>125</v>
      </c>
      <c r="D51" t="s">
        <v>126</v>
      </c>
      <c r="E51" s="3">
        <v>299</v>
      </c>
      <c r="F51" s="3">
        <v>0</v>
      </c>
      <c r="G51" s="3">
        <f>VLOOKUP(C51,Planilha1!$A$1:$B$100,2,0)</f>
        <v>0</v>
      </c>
    </row>
    <row r="52" spans="1:7" x14ac:dyDescent="0.25">
      <c r="A52" t="s">
        <v>5</v>
      </c>
      <c r="B52" t="s">
        <v>6</v>
      </c>
      <c r="C52" t="s">
        <v>32</v>
      </c>
      <c r="D52" t="s">
        <v>33</v>
      </c>
      <c r="E52" s="3">
        <v>1451</v>
      </c>
      <c r="F52" s="3">
        <v>1</v>
      </c>
      <c r="G52" s="3">
        <f>VLOOKUP(C52,Planilha1!$A$1:$B$100,2,0)</f>
        <v>0</v>
      </c>
    </row>
    <row r="53" spans="1:7" x14ac:dyDescent="0.25">
      <c r="A53" t="s">
        <v>15</v>
      </c>
      <c r="B53" t="s">
        <v>6</v>
      </c>
      <c r="C53" t="s">
        <v>163</v>
      </c>
      <c r="D53" t="s">
        <v>164</v>
      </c>
      <c r="E53" s="3">
        <v>298</v>
      </c>
      <c r="F53" s="3">
        <v>0</v>
      </c>
      <c r="G53" s="3">
        <f>VLOOKUP(C53,Planilha1!$A$1:$B$100,2,0)</f>
        <v>0</v>
      </c>
    </row>
    <row r="54" spans="1:7" x14ac:dyDescent="0.25">
      <c r="A54" t="s">
        <v>16</v>
      </c>
      <c r="B54" t="s">
        <v>6</v>
      </c>
      <c r="C54" t="s">
        <v>110</v>
      </c>
      <c r="D54" t="s">
        <v>111</v>
      </c>
      <c r="E54" s="3">
        <v>529</v>
      </c>
      <c r="F54" s="3">
        <v>0</v>
      </c>
      <c r="G54" s="3">
        <f>VLOOKUP(C54,Planilha1!$A$1:$B$100,2,0)</f>
        <v>0</v>
      </c>
    </row>
    <row r="55" spans="1:7" x14ac:dyDescent="0.25">
      <c r="A55" t="s">
        <v>75</v>
      </c>
      <c r="B55" t="s">
        <v>6</v>
      </c>
      <c r="C55" t="s">
        <v>90</v>
      </c>
      <c r="D55" t="s">
        <v>91</v>
      </c>
      <c r="E55" s="3">
        <v>377</v>
      </c>
      <c r="F55" s="3">
        <v>0</v>
      </c>
      <c r="G55" s="3">
        <f>VLOOKUP(C55,Planilha1!$A$1:$B$100,2,0)</f>
        <v>0</v>
      </c>
    </row>
    <row r="56" spans="1:7" x14ac:dyDescent="0.25">
      <c r="A56" t="s">
        <v>16</v>
      </c>
      <c r="B56" t="s">
        <v>6</v>
      </c>
      <c r="C56" t="s">
        <v>143</v>
      </c>
      <c r="D56" t="s">
        <v>144</v>
      </c>
      <c r="E56" s="3">
        <v>798</v>
      </c>
      <c r="F56" s="3">
        <v>0</v>
      </c>
      <c r="G56" s="3">
        <f>VLOOKUP(C56,Planilha1!$A$1:$B$100,2,0)</f>
        <v>0</v>
      </c>
    </row>
    <row r="57" spans="1:7" x14ac:dyDescent="0.25">
      <c r="A57" t="s">
        <v>5</v>
      </c>
      <c r="B57" t="s">
        <v>6</v>
      </c>
      <c r="C57" t="s">
        <v>116</v>
      </c>
      <c r="D57" t="s">
        <v>117</v>
      </c>
      <c r="E57" s="3">
        <v>810</v>
      </c>
      <c r="F57" s="3">
        <v>1</v>
      </c>
      <c r="G57" s="3">
        <f>VLOOKUP(C57,Planilha1!$A$1:$B$100,2,0)</f>
        <v>0</v>
      </c>
    </row>
    <row r="58" spans="1:7" x14ac:dyDescent="0.25">
      <c r="A58" t="s">
        <v>5</v>
      </c>
      <c r="B58" t="s">
        <v>6</v>
      </c>
      <c r="C58" t="s">
        <v>206</v>
      </c>
      <c r="D58" t="s">
        <v>207</v>
      </c>
      <c r="E58" s="3">
        <v>697</v>
      </c>
      <c r="F58" s="3">
        <v>0</v>
      </c>
      <c r="G58" s="3">
        <f>VLOOKUP(C58,Planilha1!$A$1:$B$100,2,0)</f>
        <v>0</v>
      </c>
    </row>
    <row r="59" spans="1:7" x14ac:dyDescent="0.25">
      <c r="A59" t="s">
        <v>5</v>
      </c>
      <c r="B59" t="s">
        <v>6</v>
      </c>
      <c r="C59" t="s">
        <v>177</v>
      </c>
      <c r="D59" t="s">
        <v>178</v>
      </c>
      <c r="E59" s="3">
        <v>306</v>
      </c>
      <c r="F59" s="3">
        <v>0</v>
      </c>
      <c r="G59" s="3">
        <f>VLOOKUP(C59,Planilha1!$A$1:$B$100,2,0)</f>
        <v>0</v>
      </c>
    </row>
    <row r="60" spans="1:7" x14ac:dyDescent="0.25">
      <c r="A60" t="s">
        <v>15</v>
      </c>
      <c r="B60" t="s">
        <v>6</v>
      </c>
      <c r="C60" t="s">
        <v>73</v>
      </c>
      <c r="D60" t="s">
        <v>74</v>
      </c>
      <c r="E60" s="3">
        <v>397</v>
      </c>
      <c r="F60" s="3">
        <v>0</v>
      </c>
      <c r="G60" s="3">
        <f>VLOOKUP(C60,Planilha1!$A$1:$B$100,2,0)</f>
        <v>0</v>
      </c>
    </row>
    <row r="61" spans="1:7" x14ac:dyDescent="0.25">
      <c r="A61" t="s">
        <v>5</v>
      </c>
      <c r="B61" t="s">
        <v>6</v>
      </c>
      <c r="C61" t="s">
        <v>106</v>
      </c>
      <c r="D61" t="s">
        <v>107</v>
      </c>
      <c r="E61" s="3">
        <v>620</v>
      </c>
      <c r="F61" s="3">
        <v>0</v>
      </c>
      <c r="G61" s="3">
        <f>VLOOKUP(C61,Planilha1!$A$1:$B$100,2,0)</f>
        <v>0</v>
      </c>
    </row>
    <row r="62" spans="1:7" x14ac:dyDescent="0.25">
      <c r="A62" t="s">
        <v>16</v>
      </c>
      <c r="B62" t="s">
        <v>6</v>
      </c>
      <c r="C62" t="s">
        <v>98</v>
      </c>
      <c r="D62" t="s">
        <v>99</v>
      </c>
      <c r="E62" s="3">
        <v>626</v>
      </c>
      <c r="F62" s="3">
        <v>0</v>
      </c>
      <c r="G62" s="3">
        <f>VLOOKUP(C62,Planilha1!$A$1:$B$100,2,0)</f>
        <v>0</v>
      </c>
    </row>
    <row r="63" spans="1:7" x14ac:dyDescent="0.25">
      <c r="A63" t="s">
        <v>15</v>
      </c>
      <c r="B63" t="s">
        <v>6</v>
      </c>
      <c r="C63" t="s">
        <v>36</v>
      </c>
      <c r="D63" t="s">
        <v>37</v>
      </c>
      <c r="E63" s="3">
        <v>536</v>
      </c>
      <c r="F63" s="3">
        <v>0</v>
      </c>
      <c r="G63" s="3">
        <f>VLOOKUP(C63,Planilha1!$A$1:$B$100,2,0)</f>
        <v>0</v>
      </c>
    </row>
    <row r="64" spans="1:7" x14ac:dyDescent="0.25">
      <c r="A64" t="s">
        <v>15</v>
      </c>
      <c r="B64" t="s">
        <v>6</v>
      </c>
      <c r="C64" t="s">
        <v>46</v>
      </c>
      <c r="D64" t="s">
        <v>47</v>
      </c>
      <c r="E64" s="3">
        <v>1600</v>
      </c>
      <c r="F64" s="3">
        <v>0</v>
      </c>
      <c r="G64" s="3">
        <f>VLOOKUP(C64,Planilha1!$A$1:$B$100,2,0)</f>
        <v>0</v>
      </c>
    </row>
    <row r="65" spans="1:7" x14ac:dyDescent="0.25">
      <c r="A65" t="s">
        <v>5</v>
      </c>
      <c r="B65" t="s">
        <v>6</v>
      </c>
      <c r="C65" t="s">
        <v>82</v>
      </c>
      <c r="D65" t="s">
        <v>83</v>
      </c>
      <c r="E65" s="3">
        <v>1547</v>
      </c>
      <c r="F65" s="3">
        <v>1</v>
      </c>
      <c r="G65" s="3">
        <f>VLOOKUP(C65,Planilha1!$A$1:$B$100,2,0)</f>
        <v>0</v>
      </c>
    </row>
    <row r="66" spans="1:7" x14ac:dyDescent="0.25">
      <c r="A66" t="s">
        <v>25</v>
      </c>
      <c r="B66" t="s">
        <v>6</v>
      </c>
      <c r="C66" t="s">
        <v>26</v>
      </c>
      <c r="D66" t="s">
        <v>27</v>
      </c>
      <c r="E66" s="3">
        <v>302</v>
      </c>
      <c r="F66" s="3">
        <v>0</v>
      </c>
      <c r="G66" s="3">
        <f>VLOOKUP(C66,Planilha1!$A$1:$B$100,2,0)</f>
        <v>0</v>
      </c>
    </row>
    <row r="67" spans="1:7" x14ac:dyDescent="0.25">
      <c r="A67" t="s">
        <v>15</v>
      </c>
      <c r="B67" t="s">
        <v>6</v>
      </c>
      <c r="C67" t="s">
        <v>165</v>
      </c>
      <c r="D67" t="s">
        <v>166</v>
      </c>
      <c r="E67" s="3">
        <v>300</v>
      </c>
      <c r="F67" s="3">
        <v>0</v>
      </c>
      <c r="G67" s="3">
        <f>VLOOKUP(C67,Planilha1!$A$1:$B$100,2,0)</f>
        <v>0</v>
      </c>
    </row>
    <row r="68" spans="1:7" x14ac:dyDescent="0.25">
      <c r="A68" t="s">
        <v>5</v>
      </c>
      <c r="B68" t="s">
        <v>6</v>
      </c>
      <c r="C68" t="s">
        <v>127</v>
      </c>
      <c r="D68" t="s">
        <v>128</v>
      </c>
      <c r="E68" s="3">
        <v>666</v>
      </c>
      <c r="F68" s="3">
        <v>0</v>
      </c>
      <c r="G68" s="3">
        <f>VLOOKUP(C68,Planilha1!$A$1:$B$100,2,0)</f>
        <v>0</v>
      </c>
    </row>
    <row r="69" spans="1:7" x14ac:dyDescent="0.25">
      <c r="A69" t="s">
        <v>5</v>
      </c>
      <c r="B69" t="s">
        <v>6</v>
      </c>
      <c r="C69" t="s">
        <v>80</v>
      </c>
      <c r="D69" t="s">
        <v>81</v>
      </c>
      <c r="E69" s="3">
        <v>425</v>
      </c>
      <c r="F69" s="3">
        <v>0</v>
      </c>
      <c r="G69" s="3">
        <f>VLOOKUP(C69,Planilha1!$A$1:$B$100,2,0)</f>
        <v>0</v>
      </c>
    </row>
    <row r="70" spans="1:7" x14ac:dyDescent="0.25">
      <c r="A70" t="s">
        <v>15</v>
      </c>
      <c r="B70" t="s">
        <v>6</v>
      </c>
      <c r="C70" t="s">
        <v>138</v>
      </c>
      <c r="D70" t="s">
        <v>139</v>
      </c>
      <c r="E70" s="3">
        <v>304</v>
      </c>
      <c r="F70" s="3">
        <v>0</v>
      </c>
      <c r="G70" s="3">
        <f>VLOOKUP(C70,Planilha1!$A$1:$B$100,2,0)</f>
        <v>0</v>
      </c>
    </row>
    <row r="71" spans="1:7" x14ac:dyDescent="0.25">
      <c r="A71" t="s">
        <v>25</v>
      </c>
      <c r="B71" t="s">
        <v>6</v>
      </c>
      <c r="C71" t="s">
        <v>30</v>
      </c>
      <c r="D71" t="s">
        <v>31</v>
      </c>
      <c r="E71" s="3">
        <v>301</v>
      </c>
      <c r="F71" s="3">
        <v>0</v>
      </c>
      <c r="G71" s="3">
        <f>VLOOKUP(C71,Planilha1!$A$1:$B$100,2,0)</f>
        <v>0</v>
      </c>
    </row>
    <row r="72" spans="1:7" x14ac:dyDescent="0.25">
      <c r="A72" t="s">
        <v>52</v>
      </c>
      <c r="B72" t="s">
        <v>6</v>
      </c>
      <c r="C72" t="s">
        <v>53</v>
      </c>
      <c r="D72" t="s">
        <v>54</v>
      </c>
      <c r="E72" s="3">
        <v>303</v>
      </c>
      <c r="F72" s="3">
        <v>0</v>
      </c>
      <c r="G72" s="3">
        <f>VLOOKUP(C72,Planilha1!$A$1:$B$100,2,0)</f>
        <v>0</v>
      </c>
    </row>
    <row r="73" spans="1:7" x14ac:dyDescent="0.25">
      <c r="A73" t="s">
        <v>16</v>
      </c>
      <c r="B73" t="s">
        <v>6</v>
      </c>
      <c r="C73" t="s">
        <v>57</v>
      </c>
      <c r="D73" t="s">
        <v>58</v>
      </c>
      <c r="E73" s="3">
        <v>741</v>
      </c>
      <c r="F73" s="3">
        <v>0</v>
      </c>
      <c r="G73" s="3">
        <f>VLOOKUP(C73,Planilha1!$A$1:$B$100,2,0)</f>
        <v>0</v>
      </c>
    </row>
    <row r="74" spans="1:7" x14ac:dyDescent="0.25">
      <c r="A74" t="s">
        <v>15</v>
      </c>
      <c r="B74" t="s">
        <v>6</v>
      </c>
      <c r="C74" t="s">
        <v>104</v>
      </c>
      <c r="D74" t="s">
        <v>105</v>
      </c>
      <c r="E74" s="3">
        <v>298</v>
      </c>
      <c r="F74" s="3">
        <v>0</v>
      </c>
      <c r="G74" s="3">
        <f>VLOOKUP(C74,Planilha1!$A$1:$B$100,2,0)</f>
        <v>0</v>
      </c>
    </row>
    <row r="75" spans="1:7" x14ac:dyDescent="0.25">
      <c r="A75" t="s">
        <v>5</v>
      </c>
      <c r="B75" t="s">
        <v>6</v>
      </c>
      <c r="C75" t="s">
        <v>153</v>
      </c>
      <c r="D75" t="s">
        <v>154</v>
      </c>
      <c r="E75" s="3">
        <v>1842</v>
      </c>
      <c r="F75" s="3">
        <v>0</v>
      </c>
      <c r="G75" s="3">
        <f>VLOOKUP(C75,Planilha1!$A$1:$B$100,2,0)</f>
        <v>1</v>
      </c>
    </row>
    <row r="76" spans="1:7" x14ac:dyDescent="0.25">
      <c r="A76" t="s">
        <v>15</v>
      </c>
      <c r="B76" t="s">
        <v>6</v>
      </c>
      <c r="C76" t="s">
        <v>197</v>
      </c>
      <c r="D76" t="s">
        <v>198</v>
      </c>
      <c r="E76" s="3">
        <v>301</v>
      </c>
      <c r="F76" s="3">
        <v>0</v>
      </c>
      <c r="G76" s="3">
        <f>VLOOKUP(C76,Planilha1!$A$1:$B$100,2,0)</f>
        <v>0</v>
      </c>
    </row>
    <row r="77" spans="1:7" x14ac:dyDescent="0.25">
      <c r="A77" t="s">
        <v>15</v>
      </c>
      <c r="B77" t="s">
        <v>6</v>
      </c>
      <c r="C77" t="s">
        <v>200</v>
      </c>
      <c r="D77" t="s">
        <v>201</v>
      </c>
      <c r="E77" s="3">
        <v>369</v>
      </c>
      <c r="F77" s="3">
        <v>0</v>
      </c>
      <c r="G77" s="3">
        <f>VLOOKUP(C77,Planilha1!$A$1:$B$100,2,0)</f>
        <v>0</v>
      </c>
    </row>
    <row r="78" spans="1:7" x14ac:dyDescent="0.25">
      <c r="A78" t="s">
        <v>5</v>
      </c>
      <c r="B78" t="s">
        <v>6</v>
      </c>
      <c r="C78" t="s">
        <v>159</v>
      </c>
      <c r="D78" t="s">
        <v>160</v>
      </c>
      <c r="E78" s="3">
        <v>925</v>
      </c>
      <c r="F78" s="3">
        <v>0</v>
      </c>
      <c r="G78" s="3">
        <f>VLOOKUP(C78,Planilha1!$A$1:$B$100,2,0)</f>
        <v>0</v>
      </c>
    </row>
    <row r="79" spans="1:7" x14ac:dyDescent="0.25">
      <c r="A79" t="s">
        <v>15</v>
      </c>
      <c r="B79" t="s">
        <v>6</v>
      </c>
      <c r="C79" t="s">
        <v>141</v>
      </c>
      <c r="D79" t="s">
        <v>142</v>
      </c>
      <c r="E79" s="3">
        <v>396</v>
      </c>
      <c r="F79" s="3">
        <v>0</v>
      </c>
      <c r="G79" s="3">
        <f>VLOOKUP(C79,Planilha1!$A$1:$B$100,2,0)</f>
        <v>0</v>
      </c>
    </row>
    <row r="80" spans="1:7" x14ac:dyDescent="0.25">
      <c r="A80" t="s">
        <v>16</v>
      </c>
      <c r="B80" t="s">
        <v>6</v>
      </c>
      <c r="C80" t="s">
        <v>181</v>
      </c>
      <c r="D80" t="s">
        <v>182</v>
      </c>
      <c r="E80" s="3">
        <v>718</v>
      </c>
      <c r="F80" s="3">
        <v>1</v>
      </c>
      <c r="G80" s="3">
        <f>VLOOKUP(C80,Planilha1!$A$1:$B$100,2,0)</f>
        <v>0</v>
      </c>
    </row>
    <row r="81" spans="1:7" x14ac:dyDescent="0.25">
      <c r="A81" t="s">
        <v>15</v>
      </c>
      <c r="B81" t="s">
        <v>6</v>
      </c>
      <c r="C81" t="s">
        <v>44</v>
      </c>
      <c r="D81" t="s">
        <v>45</v>
      </c>
      <c r="E81" s="3">
        <v>306</v>
      </c>
      <c r="F81" s="3">
        <v>0</v>
      </c>
      <c r="G81" s="3">
        <f>VLOOKUP(C81,Planilha1!$A$1:$B$100,2,0)</f>
        <v>0</v>
      </c>
    </row>
    <row r="82" spans="1:7" x14ac:dyDescent="0.25">
      <c r="A82" t="s">
        <v>16</v>
      </c>
      <c r="B82" t="s">
        <v>6</v>
      </c>
      <c r="C82" t="s">
        <v>204</v>
      </c>
      <c r="D82" t="s">
        <v>205</v>
      </c>
      <c r="E82" s="3">
        <v>471</v>
      </c>
      <c r="F82" s="3">
        <v>0</v>
      </c>
      <c r="G82" s="3">
        <f>VLOOKUP(C82,Planilha1!$A$1:$B$100,2,0)</f>
        <v>0</v>
      </c>
    </row>
    <row r="83" spans="1:7" x14ac:dyDescent="0.25">
      <c r="A83" t="s">
        <v>5</v>
      </c>
      <c r="B83" t="s">
        <v>6</v>
      </c>
      <c r="C83" t="s">
        <v>7</v>
      </c>
      <c r="D83" t="s">
        <v>8</v>
      </c>
      <c r="E83" s="3">
        <v>625</v>
      </c>
      <c r="F83" s="3">
        <v>0</v>
      </c>
      <c r="G83" s="3">
        <f>VLOOKUP(C83,Planilha1!$A$1:$B$100,2,0)</f>
        <v>0</v>
      </c>
    </row>
    <row r="84" spans="1:7" x14ac:dyDescent="0.25">
      <c r="A84" t="s">
        <v>15</v>
      </c>
      <c r="B84" t="s">
        <v>6</v>
      </c>
      <c r="C84" t="s">
        <v>136</v>
      </c>
      <c r="D84" t="s">
        <v>137</v>
      </c>
      <c r="E84" s="3">
        <v>804</v>
      </c>
      <c r="F84" s="3">
        <v>0</v>
      </c>
      <c r="G84" s="3">
        <f>VLOOKUP(C84,Planilha1!$A$1:$B$100,2,0)</f>
        <v>0</v>
      </c>
    </row>
    <row r="85" spans="1:7" x14ac:dyDescent="0.25">
      <c r="A85" t="s">
        <v>5</v>
      </c>
      <c r="B85" t="s">
        <v>6</v>
      </c>
      <c r="C85" t="s">
        <v>191</v>
      </c>
      <c r="D85" t="s">
        <v>192</v>
      </c>
      <c r="E85" s="3">
        <v>1576</v>
      </c>
      <c r="F85" s="3">
        <v>0</v>
      </c>
      <c r="G85" s="3">
        <f>VLOOKUP(C85,Planilha1!$A$1:$B$100,2,0)</f>
        <v>0</v>
      </c>
    </row>
    <row r="86" spans="1:7" x14ac:dyDescent="0.25">
      <c r="A86" t="s">
        <v>15</v>
      </c>
      <c r="B86" t="s">
        <v>6</v>
      </c>
      <c r="C86" t="s">
        <v>78</v>
      </c>
      <c r="D86" t="s">
        <v>79</v>
      </c>
      <c r="E86" s="3">
        <v>300</v>
      </c>
      <c r="F86" s="3">
        <v>0</v>
      </c>
      <c r="G86" s="3">
        <f>VLOOKUP(C86,Planilha1!$A$1:$B$100,2,0)</f>
        <v>0</v>
      </c>
    </row>
    <row r="87" spans="1:7" x14ac:dyDescent="0.25">
      <c r="A87" t="s">
        <v>15</v>
      </c>
      <c r="B87" t="s">
        <v>6</v>
      </c>
      <c r="C87" t="s">
        <v>21</v>
      </c>
      <c r="D87" t="s">
        <v>22</v>
      </c>
      <c r="E87" s="3">
        <v>303</v>
      </c>
      <c r="F87" s="3">
        <v>0</v>
      </c>
      <c r="G87" s="3">
        <f>VLOOKUP(C87,Planilha1!$A$1:$B$100,2,0)</f>
        <v>0</v>
      </c>
    </row>
    <row r="88" spans="1:7" x14ac:dyDescent="0.25">
      <c r="A88" t="s">
        <v>5</v>
      </c>
      <c r="B88" t="s">
        <v>6</v>
      </c>
      <c r="C88" t="s">
        <v>96</v>
      </c>
      <c r="D88" t="s">
        <v>97</v>
      </c>
      <c r="E88" s="3">
        <v>910</v>
      </c>
      <c r="F88" s="3">
        <v>0</v>
      </c>
      <c r="G88" s="3">
        <f>VLOOKUP(C88,Planilha1!$A$1:$B$100,2,0)</f>
        <v>0</v>
      </c>
    </row>
    <row r="89" spans="1:7" x14ac:dyDescent="0.25">
      <c r="A89" t="s">
        <v>133</v>
      </c>
      <c r="B89" t="s">
        <v>6</v>
      </c>
      <c r="C89" t="s">
        <v>134</v>
      </c>
      <c r="D89" t="s">
        <v>135</v>
      </c>
      <c r="E89" s="3">
        <v>427</v>
      </c>
      <c r="F89" s="3">
        <v>0</v>
      </c>
      <c r="G89" s="3">
        <f>VLOOKUP(C89,Planilha1!$A$1:$B$100,2,0)</f>
        <v>0</v>
      </c>
    </row>
    <row r="90" spans="1:7" x14ac:dyDescent="0.25">
      <c r="A90" t="s">
        <v>16</v>
      </c>
      <c r="B90" t="s">
        <v>6</v>
      </c>
      <c r="C90" t="s">
        <v>61</v>
      </c>
      <c r="D90" t="s">
        <v>62</v>
      </c>
      <c r="E90" s="3">
        <v>484</v>
      </c>
      <c r="F90" s="3">
        <v>0</v>
      </c>
      <c r="G90" s="3">
        <f>VLOOKUP(C90,Planilha1!$A$1:$B$100,2,0)</f>
        <v>0</v>
      </c>
    </row>
    <row r="91" spans="1:7" x14ac:dyDescent="0.25">
      <c r="A91" t="s">
        <v>5</v>
      </c>
      <c r="B91" t="s">
        <v>6</v>
      </c>
      <c r="C91" t="s">
        <v>167</v>
      </c>
      <c r="D91" t="s">
        <v>168</v>
      </c>
      <c r="E91" s="3">
        <v>799</v>
      </c>
      <c r="F91" s="3">
        <v>1</v>
      </c>
      <c r="G91" s="3">
        <f>VLOOKUP(C91,Planilha1!$A$1:$B$100,2,0)</f>
        <v>0</v>
      </c>
    </row>
    <row r="92" spans="1:7" x14ac:dyDescent="0.25">
      <c r="A92" t="s">
        <v>5</v>
      </c>
      <c r="B92" t="s">
        <v>6</v>
      </c>
      <c r="C92" t="s">
        <v>9</v>
      </c>
      <c r="D92" t="s">
        <v>10</v>
      </c>
      <c r="E92" s="3">
        <v>690</v>
      </c>
      <c r="F92" s="3">
        <v>0</v>
      </c>
      <c r="G92" s="3">
        <f>VLOOKUP(C92,Planilha1!$A$1:$B$100,2,0)</f>
        <v>0</v>
      </c>
    </row>
    <row r="93" spans="1:7" x14ac:dyDescent="0.25">
      <c r="A93" t="s">
        <v>5</v>
      </c>
      <c r="B93" t="s">
        <v>6</v>
      </c>
      <c r="C93" t="s">
        <v>67</v>
      </c>
      <c r="D93" t="s">
        <v>68</v>
      </c>
      <c r="E93" s="3">
        <v>985</v>
      </c>
      <c r="F93" s="3">
        <v>1</v>
      </c>
      <c r="G93" s="3">
        <f>VLOOKUP(C93,Planilha1!$A$1:$B$100,2,0)</f>
        <v>0</v>
      </c>
    </row>
    <row r="94" spans="1:7" x14ac:dyDescent="0.25">
      <c r="A94" t="s">
        <v>5</v>
      </c>
      <c r="B94" t="s">
        <v>6</v>
      </c>
      <c r="C94" t="s">
        <v>210</v>
      </c>
      <c r="D94" t="s">
        <v>211</v>
      </c>
      <c r="E94" s="3">
        <v>663</v>
      </c>
      <c r="F94" s="3">
        <v>0</v>
      </c>
      <c r="G94" s="3">
        <f>VLOOKUP(C94,Planilha1!$A$1:$B$100,2,0)</f>
        <v>0</v>
      </c>
    </row>
    <row r="95" spans="1:7" x14ac:dyDescent="0.25">
      <c r="A95" t="s">
        <v>15</v>
      </c>
      <c r="B95" t="s">
        <v>6</v>
      </c>
      <c r="C95" t="s">
        <v>151</v>
      </c>
      <c r="D95" t="s">
        <v>152</v>
      </c>
      <c r="E95" s="3">
        <v>1209</v>
      </c>
      <c r="F95" s="3">
        <v>0</v>
      </c>
      <c r="G95" s="3">
        <f>VLOOKUP(C95,Planilha1!$A$1:$B$100,2,0)</f>
        <v>0</v>
      </c>
    </row>
    <row r="96" spans="1:7" x14ac:dyDescent="0.25">
      <c r="A96" t="s">
        <v>5</v>
      </c>
      <c r="B96" t="s">
        <v>6</v>
      </c>
      <c r="C96" t="s">
        <v>121</v>
      </c>
      <c r="D96" t="s">
        <v>122</v>
      </c>
      <c r="E96" s="3">
        <v>532</v>
      </c>
      <c r="F96" s="3">
        <v>1</v>
      </c>
      <c r="G96" s="3">
        <f>VLOOKUP(C96,Planilha1!$A$1:$B$100,2,0)</f>
        <v>1</v>
      </c>
    </row>
    <row r="97" spans="1:7" x14ac:dyDescent="0.25">
      <c r="A97" t="s">
        <v>16</v>
      </c>
      <c r="B97" t="s">
        <v>6</v>
      </c>
      <c r="C97" t="s">
        <v>175</v>
      </c>
      <c r="D97" t="s">
        <v>176</v>
      </c>
      <c r="E97" s="3">
        <v>563</v>
      </c>
      <c r="F97" s="3">
        <v>0</v>
      </c>
      <c r="G97" s="3">
        <f>VLOOKUP(C97,Planilha1!$A$1:$B$100,2,0)</f>
        <v>1</v>
      </c>
    </row>
    <row r="98" spans="1:7" x14ac:dyDescent="0.25">
      <c r="A98" t="s">
        <v>16</v>
      </c>
      <c r="B98" t="s">
        <v>6</v>
      </c>
      <c r="C98" t="s">
        <v>48</v>
      </c>
      <c r="D98" t="s">
        <v>49</v>
      </c>
      <c r="E98" s="3">
        <v>522</v>
      </c>
      <c r="F98" s="3">
        <v>0</v>
      </c>
      <c r="G98" s="3">
        <f>VLOOKUP(C98,Planilha1!$A$1:$B$100,2,0)</f>
        <v>0</v>
      </c>
    </row>
    <row r="99" spans="1:7" x14ac:dyDescent="0.25">
      <c r="A99" t="s">
        <v>15</v>
      </c>
      <c r="B99" t="s">
        <v>6</v>
      </c>
      <c r="C99" t="s">
        <v>161</v>
      </c>
      <c r="D99" t="s">
        <v>162</v>
      </c>
      <c r="E99" s="3">
        <v>298</v>
      </c>
      <c r="F99" s="3">
        <v>0</v>
      </c>
      <c r="G99" s="3">
        <f>VLOOKUP(C99,Planilha1!$A$1:$B$100,2,0)</f>
        <v>0</v>
      </c>
    </row>
    <row r="100" spans="1:7" x14ac:dyDescent="0.25">
      <c r="A100" t="s">
        <v>15</v>
      </c>
      <c r="B100" t="s">
        <v>6</v>
      </c>
      <c r="C100" t="s">
        <v>123</v>
      </c>
      <c r="D100" t="s">
        <v>124</v>
      </c>
      <c r="E100" s="3">
        <v>299</v>
      </c>
      <c r="F100" s="3">
        <v>0</v>
      </c>
      <c r="G100" s="3">
        <f>VLOOKUP(C100,Planilha1!$A$1:$B$100,2,0)</f>
        <v>0</v>
      </c>
    </row>
    <row r="101" spans="1:7" x14ac:dyDescent="0.25">
      <c r="A101" t="s">
        <v>16</v>
      </c>
      <c r="B101" t="s">
        <v>6</v>
      </c>
      <c r="C101" t="s">
        <v>173</v>
      </c>
      <c r="D101" t="s">
        <v>174</v>
      </c>
      <c r="E101" s="3">
        <v>366</v>
      </c>
      <c r="F101" s="3">
        <v>0</v>
      </c>
      <c r="G101" s="3">
        <f>VLOOKUP(C101,Planilha1!$A$1:$B$100,2,0)</f>
        <v>0</v>
      </c>
    </row>
  </sheetData>
  <autoFilter ref="A1:G1" xr:uid="{09FBC12B-607B-4053-A542-9019566A0897}"/>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80CB-9A3E-453E-94B1-87C3A0276368}">
  <dimension ref="A1:C100"/>
  <sheetViews>
    <sheetView topLeftCell="A100" workbookViewId="0">
      <selection sqref="A1:C100"/>
    </sheetView>
  </sheetViews>
  <sheetFormatPr defaultRowHeight="15" x14ac:dyDescent="0.25"/>
  <sheetData>
    <row r="1" spans="1:3" ht="409.5" x14ac:dyDescent="0.25">
      <c r="A1" t="s">
        <v>65</v>
      </c>
      <c r="B1" s="3">
        <v>0</v>
      </c>
      <c r="C1" s="4" t="s">
        <v>214</v>
      </c>
    </row>
    <row r="2" spans="1:3" ht="409.5" x14ac:dyDescent="0.25">
      <c r="A2" t="s">
        <v>187</v>
      </c>
      <c r="B2" s="3">
        <v>0</v>
      </c>
      <c r="C2" s="4" t="s">
        <v>215</v>
      </c>
    </row>
    <row r="3" spans="1:3" ht="409.5" x14ac:dyDescent="0.25">
      <c r="A3" t="s">
        <v>92</v>
      </c>
      <c r="B3" s="3">
        <v>1</v>
      </c>
      <c r="C3" s="4" t="s">
        <v>216</v>
      </c>
    </row>
    <row r="4" spans="1:3" ht="409.5" x14ac:dyDescent="0.25">
      <c r="A4" t="s">
        <v>179</v>
      </c>
      <c r="B4" s="3">
        <v>0</v>
      </c>
      <c r="C4" s="4" t="s">
        <v>217</v>
      </c>
    </row>
    <row r="5" spans="1:3" ht="409.5" x14ac:dyDescent="0.25">
      <c r="A5" t="s">
        <v>147</v>
      </c>
      <c r="B5" s="3">
        <v>0</v>
      </c>
      <c r="C5" s="4" t="s">
        <v>218</v>
      </c>
    </row>
    <row r="6" spans="1:3" ht="409.5" x14ac:dyDescent="0.25">
      <c r="A6" t="s">
        <v>59</v>
      </c>
      <c r="B6" s="3">
        <v>0</v>
      </c>
      <c r="C6" s="4" t="s">
        <v>219</v>
      </c>
    </row>
    <row r="7" spans="1:3" ht="409.5" x14ac:dyDescent="0.25">
      <c r="A7" t="s">
        <v>193</v>
      </c>
      <c r="B7" s="3">
        <v>0</v>
      </c>
      <c r="C7" s="4" t="s">
        <v>220</v>
      </c>
    </row>
    <row r="8" spans="1:3" ht="120" x14ac:dyDescent="0.25">
      <c r="A8" t="s">
        <v>15</v>
      </c>
      <c r="B8" s="3">
        <v>0</v>
      </c>
      <c r="C8" s="4" t="s">
        <v>221</v>
      </c>
    </row>
    <row r="9" spans="1:3" ht="75" x14ac:dyDescent="0.25">
      <c r="A9" t="s">
        <v>34</v>
      </c>
      <c r="B9" s="3">
        <v>0</v>
      </c>
      <c r="C9" s="4" t="s">
        <v>222</v>
      </c>
    </row>
    <row r="10" spans="1:3" ht="409.5" x14ac:dyDescent="0.25">
      <c r="A10" t="s">
        <v>112</v>
      </c>
      <c r="B10" s="3">
        <v>0</v>
      </c>
      <c r="C10" s="4" t="s">
        <v>223</v>
      </c>
    </row>
    <row r="11" spans="1:3" ht="409.5" x14ac:dyDescent="0.25">
      <c r="A11" t="s">
        <v>55</v>
      </c>
      <c r="B11" s="3">
        <v>0</v>
      </c>
      <c r="C11" s="4" t="s">
        <v>224</v>
      </c>
    </row>
    <row r="12" spans="1:3" ht="135" x14ac:dyDescent="0.25">
      <c r="A12" t="s">
        <v>183</v>
      </c>
      <c r="B12" s="3">
        <v>0</v>
      </c>
      <c r="C12" s="4" t="s">
        <v>225</v>
      </c>
    </row>
    <row r="13" spans="1:3" ht="409.5" x14ac:dyDescent="0.25">
      <c r="A13" t="s">
        <v>88</v>
      </c>
      <c r="B13" s="3">
        <v>0</v>
      </c>
      <c r="C13" s="4" t="s">
        <v>226</v>
      </c>
    </row>
    <row r="14" spans="1:3" ht="409.5" x14ac:dyDescent="0.25">
      <c r="A14" t="s">
        <v>40</v>
      </c>
      <c r="B14" s="3">
        <v>0</v>
      </c>
      <c r="C14" s="4" t="s">
        <v>227</v>
      </c>
    </row>
    <row r="15" spans="1:3" ht="409.5" x14ac:dyDescent="0.25">
      <c r="A15" t="s">
        <v>118</v>
      </c>
      <c r="B15" s="3">
        <v>0</v>
      </c>
      <c r="C15" s="4" t="s">
        <v>228</v>
      </c>
    </row>
    <row r="16" spans="1:3" ht="409.5" x14ac:dyDescent="0.25">
      <c r="A16" t="s">
        <v>11</v>
      </c>
      <c r="B16" s="3">
        <v>0</v>
      </c>
      <c r="C16" s="4" t="s">
        <v>229</v>
      </c>
    </row>
    <row r="17" spans="1:3" ht="195" x14ac:dyDescent="0.25">
      <c r="A17" t="s">
        <v>114</v>
      </c>
      <c r="B17" s="3">
        <v>0</v>
      </c>
      <c r="C17" s="4" t="s">
        <v>230</v>
      </c>
    </row>
    <row r="18" spans="1:3" ht="409.5" x14ac:dyDescent="0.25">
      <c r="A18" t="s">
        <v>202</v>
      </c>
      <c r="B18" s="3">
        <v>1</v>
      </c>
      <c r="C18" s="4" t="s">
        <v>231</v>
      </c>
    </row>
    <row r="19" spans="1:3" ht="409.5" x14ac:dyDescent="0.25">
      <c r="A19" t="s">
        <v>23</v>
      </c>
      <c r="B19" s="3">
        <v>0</v>
      </c>
      <c r="C19" s="4" t="s">
        <v>232</v>
      </c>
    </row>
    <row r="20" spans="1:3" ht="409.5" x14ac:dyDescent="0.25">
      <c r="A20" t="s">
        <v>102</v>
      </c>
      <c r="B20" s="3">
        <v>0</v>
      </c>
      <c r="C20" s="4" t="s">
        <v>233</v>
      </c>
    </row>
    <row r="21" spans="1:3" ht="409.5" x14ac:dyDescent="0.25">
      <c r="A21" t="s">
        <v>69</v>
      </c>
      <c r="B21" s="3">
        <v>0</v>
      </c>
      <c r="C21" s="4" t="s">
        <v>234</v>
      </c>
    </row>
    <row r="22" spans="1:3" ht="409.5" x14ac:dyDescent="0.25">
      <c r="A22" t="s">
        <v>17</v>
      </c>
      <c r="B22" s="3">
        <v>0</v>
      </c>
      <c r="C22" s="4" t="s">
        <v>235</v>
      </c>
    </row>
    <row r="23" spans="1:3" ht="225" x14ac:dyDescent="0.25">
      <c r="A23" t="s">
        <v>13</v>
      </c>
      <c r="B23" s="3">
        <v>0</v>
      </c>
      <c r="C23" s="4" t="s">
        <v>236</v>
      </c>
    </row>
    <row r="24" spans="1:3" ht="409.5" x14ac:dyDescent="0.25">
      <c r="A24" t="s">
        <v>108</v>
      </c>
      <c r="B24" s="3">
        <v>0</v>
      </c>
      <c r="C24" s="4" t="s">
        <v>237</v>
      </c>
    </row>
    <row r="25" spans="1:3" ht="409.5" x14ac:dyDescent="0.25">
      <c r="A25" t="s">
        <v>145</v>
      </c>
      <c r="B25" s="3">
        <v>0</v>
      </c>
      <c r="C25" s="4" t="s">
        <v>238</v>
      </c>
    </row>
    <row r="26" spans="1:3" ht="409.5" x14ac:dyDescent="0.25">
      <c r="A26" t="s">
        <v>185</v>
      </c>
      <c r="B26" s="3">
        <v>0</v>
      </c>
      <c r="C26" s="4" t="s">
        <v>239</v>
      </c>
    </row>
    <row r="27" spans="1:3" ht="409.5" x14ac:dyDescent="0.25">
      <c r="A27" t="s">
        <v>157</v>
      </c>
      <c r="B27" s="3">
        <v>0</v>
      </c>
      <c r="C27" s="4" t="s">
        <v>240</v>
      </c>
    </row>
    <row r="28" spans="1:3" ht="409.5" x14ac:dyDescent="0.25">
      <c r="A28" t="s">
        <v>195</v>
      </c>
      <c r="B28" s="3">
        <v>0</v>
      </c>
      <c r="C28" s="4" t="s">
        <v>241</v>
      </c>
    </row>
    <row r="29" spans="1:3" ht="409.5" x14ac:dyDescent="0.25">
      <c r="A29" t="s">
        <v>100</v>
      </c>
      <c r="B29" s="3">
        <v>0</v>
      </c>
      <c r="C29" s="4" t="s">
        <v>242</v>
      </c>
    </row>
    <row r="30" spans="1:3" ht="409.5" x14ac:dyDescent="0.25">
      <c r="A30" t="s">
        <v>171</v>
      </c>
      <c r="B30" s="3">
        <v>0</v>
      </c>
      <c r="C30" s="4" t="s">
        <v>243</v>
      </c>
    </row>
    <row r="31" spans="1:3" ht="409.5" x14ac:dyDescent="0.25">
      <c r="A31" t="s">
        <v>28</v>
      </c>
      <c r="B31" s="3">
        <v>0</v>
      </c>
      <c r="C31" s="4" t="s">
        <v>244</v>
      </c>
    </row>
    <row r="32" spans="1:3" ht="409.5" x14ac:dyDescent="0.25">
      <c r="A32" t="s">
        <v>189</v>
      </c>
      <c r="B32" s="3">
        <v>0</v>
      </c>
      <c r="C32" s="4" t="s">
        <v>245</v>
      </c>
    </row>
    <row r="33" spans="1:3" ht="409.5" x14ac:dyDescent="0.25">
      <c r="A33" t="s">
        <v>129</v>
      </c>
      <c r="B33" s="3">
        <v>0</v>
      </c>
      <c r="C33" s="4" t="s">
        <v>246</v>
      </c>
    </row>
    <row r="34" spans="1:3" ht="409.5" x14ac:dyDescent="0.25">
      <c r="A34" t="s">
        <v>169</v>
      </c>
      <c r="B34" s="3">
        <v>0</v>
      </c>
      <c r="C34" s="4" t="s">
        <v>247</v>
      </c>
    </row>
    <row r="35" spans="1:3" ht="409.5" x14ac:dyDescent="0.25">
      <c r="A35" t="s">
        <v>86</v>
      </c>
      <c r="B35" s="3">
        <v>0</v>
      </c>
      <c r="C35" s="4" t="s">
        <v>248</v>
      </c>
    </row>
    <row r="36" spans="1:3" ht="409.5" x14ac:dyDescent="0.25">
      <c r="A36" t="s">
        <v>50</v>
      </c>
      <c r="B36" s="3">
        <v>0</v>
      </c>
      <c r="C36" s="4" t="s">
        <v>249</v>
      </c>
    </row>
    <row r="37" spans="1:3" ht="360" x14ac:dyDescent="0.25">
      <c r="A37" t="s">
        <v>94</v>
      </c>
      <c r="B37" s="3">
        <v>0</v>
      </c>
      <c r="C37" s="4" t="s">
        <v>250</v>
      </c>
    </row>
    <row r="38" spans="1:3" ht="409.5" x14ac:dyDescent="0.25">
      <c r="A38" t="s">
        <v>42</v>
      </c>
      <c r="B38" s="3">
        <v>0</v>
      </c>
      <c r="C38" s="4" t="s">
        <v>251</v>
      </c>
    </row>
    <row r="39" spans="1:3" ht="409.5" x14ac:dyDescent="0.25">
      <c r="A39" t="s">
        <v>84</v>
      </c>
      <c r="B39" s="3">
        <v>0</v>
      </c>
      <c r="C39" s="4" t="s">
        <v>252</v>
      </c>
    </row>
    <row r="40" spans="1:3" ht="409.5" x14ac:dyDescent="0.25">
      <c r="A40" t="s">
        <v>155</v>
      </c>
      <c r="B40" s="3">
        <v>0</v>
      </c>
      <c r="C40" s="4" t="s">
        <v>253</v>
      </c>
    </row>
    <row r="41" spans="1:3" ht="409.5" x14ac:dyDescent="0.25">
      <c r="A41" t="s">
        <v>131</v>
      </c>
      <c r="B41" s="3">
        <v>0</v>
      </c>
      <c r="C41" s="4" t="s">
        <v>254</v>
      </c>
    </row>
    <row r="42" spans="1:3" ht="409.5" x14ac:dyDescent="0.25">
      <c r="A42" t="s">
        <v>38</v>
      </c>
      <c r="B42" s="3">
        <v>0</v>
      </c>
      <c r="C42" s="4" t="s">
        <v>255</v>
      </c>
    </row>
    <row r="43" spans="1:3" ht="409.5" x14ac:dyDescent="0.25">
      <c r="A43" t="s">
        <v>208</v>
      </c>
      <c r="B43" s="3">
        <v>0</v>
      </c>
      <c r="C43" s="4" t="s">
        <v>256</v>
      </c>
    </row>
    <row r="44" spans="1:3" ht="409.5" x14ac:dyDescent="0.25">
      <c r="A44" t="s">
        <v>19</v>
      </c>
      <c r="B44" s="3">
        <v>0</v>
      </c>
      <c r="C44" s="4" t="s">
        <v>257</v>
      </c>
    </row>
    <row r="45" spans="1:3" ht="409.5" x14ac:dyDescent="0.25">
      <c r="A45" t="s">
        <v>76</v>
      </c>
      <c r="B45" s="3">
        <v>0</v>
      </c>
      <c r="C45" s="4" t="s">
        <v>258</v>
      </c>
    </row>
    <row r="46" spans="1:3" ht="409.5" x14ac:dyDescent="0.25">
      <c r="A46" t="s">
        <v>63</v>
      </c>
      <c r="B46" s="3">
        <v>0</v>
      </c>
      <c r="C46" s="4" t="s">
        <v>259</v>
      </c>
    </row>
    <row r="47" spans="1:3" ht="409.5" x14ac:dyDescent="0.25">
      <c r="A47" t="s">
        <v>149</v>
      </c>
      <c r="B47" s="3">
        <v>0</v>
      </c>
      <c r="C47" s="4" t="s">
        <v>260</v>
      </c>
    </row>
    <row r="48" spans="1:3" ht="409.5" x14ac:dyDescent="0.25">
      <c r="A48" t="s">
        <v>71</v>
      </c>
      <c r="B48" s="3">
        <v>0</v>
      </c>
      <c r="C48" s="4" t="s">
        <v>261</v>
      </c>
    </row>
    <row r="49" spans="1:3" ht="409.5" x14ac:dyDescent="0.25">
      <c r="A49" t="s">
        <v>120</v>
      </c>
      <c r="B49" s="3">
        <v>0</v>
      </c>
      <c r="C49" s="4" t="s">
        <v>262</v>
      </c>
    </row>
    <row r="50" spans="1:3" ht="150" x14ac:dyDescent="0.25">
      <c r="A50" t="s">
        <v>125</v>
      </c>
      <c r="B50" s="3">
        <v>0</v>
      </c>
      <c r="C50" s="4" t="s">
        <v>263</v>
      </c>
    </row>
    <row r="51" spans="1:3" ht="409.5" x14ac:dyDescent="0.25">
      <c r="A51" t="s">
        <v>32</v>
      </c>
      <c r="B51" s="3">
        <v>0</v>
      </c>
      <c r="C51" s="4" t="s">
        <v>264</v>
      </c>
    </row>
    <row r="52" spans="1:3" ht="60" x14ac:dyDescent="0.25">
      <c r="A52" t="s">
        <v>163</v>
      </c>
      <c r="B52" s="3">
        <v>0</v>
      </c>
      <c r="C52" s="4" t="s">
        <v>265</v>
      </c>
    </row>
    <row r="53" spans="1:3" ht="409.5" x14ac:dyDescent="0.25">
      <c r="A53" t="s">
        <v>110</v>
      </c>
      <c r="B53" s="3">
        <v>0</v>
      </c>
      <c r="C53" s="4" t="s">
        <v>266</v>
      </c>
    </row>
    <row r="54" spans="1:3" ht="409.5" x14ac:dyDescent="0.25">
      <c r="A54" t="s">
        <v>90</v>
      </c>
      <c r="B54" s="3">
        <v>0</v>
      </c>
      <c r="C54" s="4" t="s">
        <v>267</v>
      </c>
    </row>
    <row r="55" spans="1:3" ht="409.5" x14ac:dyDescent="0.25">
      <c r="A55" t="s">
        <v>143</v>
      </c>
      <c r="B55" s="3">
        <v>0</v>
      </c>
      <c r="C55" s="4" t="s">
        <v>268</v>
      </c>
    </row>
    <row r="56" spans="1:3" ht="409.5" x14ac:dyDescent="0.25">
      <c r="A56" t="s">
        <v>116</v>
      </c>
      <c r="B56" s="3">
        <v>0</v>
      </c>
      <c r="C56" s="4" t="s">
        <v>269</v>
      </c>
    </row>
    <row r="57" spans="1:3" ht="409.5" x14ac:dyDescent="0.25">
      <c r="A57" t="s">
        <v>206</v>
      </c>
      <c r="B57" s="3">
        <v>0</v>
      </c>
      <c r="C57" s="4" t="s">
        <v>270</v>
      </c>
    </row>
    <row r="58" spans="1:3" ht="409.5" x14ac:dyDescent="0.25">
      <c r="A58" t="s">
        <v>177</v>
      </c>
      <c r="B58" s="3">
        <v>0</v>
      </c>
      <c r="C58" s="4" t="s">
        <v>271</v>
      </c>
    </row>
    <row r="59" spans="1:3" ht="165" x14ac:dyDescent="0.25">
      <c r="A59" t="s">
        <v>73</v>
      </c>
      <c r="B59" s="3">
        <v>0</v>
      </c>
      <c r="C59" s="4" t="s">
        <v>272</v>
      </c>
    </row>
    <row r="60" spans="1:3" ht="409.5" x14ac:dyDescent="0.25">
      <c r="A60" t="s">
        <v>106</v>
      </c>
      <c r="B60" s="3">
        <v>0</v>
      </c>
      <c r="C60" s="4" t="s">
        <v>273</v>
      </c>
    </row>
    <row r="61" spans="1:3" ht="409.5" x14ac:dyDescent="0.25">
      <c r="A61" t="s">
        <v>98</v>
      </c>
      <c r="B61" s="3">
        <v>0</v>
      </c>
      <c r="C61" s="4" t="s">
        <v>274</v>
      </c>
    </row>
    <row r="62" spans="1:3" ht="409.5" x14ac:dyDescent="0.25">
      <c r="A62" t="s">
        <v>36</v>
      </c>
      <c r="B62" s="3">
        <v>0</v>
      </c>
      <c r="C62" s="4" t="s">
        <v>275</v>
      </c>
    </row>
    <row r="63" spans="1:3" ht="409.5" x14ac:dyDescent="0.25">
      <c r="A63" t="s">
        <v>46</v>
      </c>
      <c r="B63" s="3">
        <v>0</v>
      </c>
      <c r="C63" s="4" t="s">
        <v>276</v>
      </c>
    </row>
    <row r="64" spans="1:3" ht="409.5" x14ac:dyDescent="0.25">
      <c r="A64" t="s">
        <v>82</v>
      </c>
      <c r="B64" s="3">
        <v>0</v>
      </c>
      <c r="C64" s="4" t="s">
        <v>277</v>
      </c>
    </row>
    <row r="65" spans="1:3" ht="409.5" x14ac:dyDescent="0.25">
      <c r="A65" t="s">
        <v>26</v>
      </c>
      <c r="B65" s="3">
        <v>0</v>
      </c>
      <c r="C65" s="4" t="s">
        <v>278</v>
      </c>
    </row>
    <row r="66" spans="1:3" ht="330" x14ac:dyDescent="0.25">
      <c r="A66" t="s">
        <v>165</v>
      </c>
      <c r="B66" s="3">
        <v>0</v>
      </c>
      <c r="C66" s="4" t="s">
        <v>279</v>
      </c>
    </row>
    <row r="67" spans="1:3" ht="409.5" x14ac:dyDescent="0.25">
      <c r="A67" t="s">
        <v>127</v>
      </c>
      <c r="B67" s="3">
        <v>0</v>
      </c>
      <c r="C67" s="4" t="s">
        <v>280</v>
      </c>
    </row>
    <row r="68" spans="1:3" ht="180" x14ac:dyDescent="0.25">
      <c r="A68" t="s">
        <v>80</v>
      </c>
      <c r="B68" s="3">
        <v>0</v>
      </c>
      <c r="C68" s="4" t="s">
        <v>281</v>
      </c>
    </row>
    <row r="69" spans="1:3" ht="409.5" x14ac:dyDescent="0.25">
      <c r="A69" t="s">
        <v>138</v>
      </c>
      <c r="B69" s="3">
        <v>0</v>
      </c>
      <c r="C69" s="4" t="s">
        <v>282</v>
      </c>
    </row>
    <row r="70" spans="1:3" ht="409.5" x14ac:dyDescent="0.25">
      <c r="A70" t="s">
        <v>30</v>
      </c>
      <c r="B70" s="3">
        <v>0</v>
      </c>
      <c r="C70" s="4" t="s">
        <v>283</v>
      </c>
    </row>
    <row r="71" spans="1:3" ht="409.5" x14ac:dyDescent="0.25">
      <c r="A71" t="s">
        <v>53</v>
      </c>
      <c r="B71" s="3">
        <v>0</v>
      </c>
      <c r="C71" s="4" t="s">
        <v>284</v>
      </c>
    </row>
    <row r="72" spans="1:3" ht="409.5" x14ac:dyDescent="0.25">
      <c r="A72" t="s">
        <v>57</v>
      </c>
      <c r="B72" s="3">
        <v>0</v>
      </c>
      <c r="C72" s="4" t="s">
        <v>285</v>
      </c>
    </row>
    <row r="73" spans="1:3" ht="409.5" x14ac:dyDescent="0.25">
      <c r="A73" t="s">
        <v>104</v>
      </c>
      <c r="B73" s="3">
        <v>0</v>
      </c>
      <c r="C73" s="4" t="s">
        <v>286</v>
      </c>
    </row>
    <row r="74" spans="1:3" ht="409.5" x14ac:dyDescent="0.25">
      <c r="A74" t="s">
        <v>153</v>
      </c>
      <c r="B74" s="3">
        <v>1</v>
      </c>
      <c r="C74" s="4" t="s">
        <v>287</v>
      </c>
    </row>
    <row r="75" spans="1:3" ht="409.5" x14ac:dyDescent="0.25">
      <c r="A75" t="s">
        <v>197</v>
      </c>
      <c r="B75" s="3">
        <v>0</v>
      </c>
      <c r="C75" s="4" t="s">
        <v>288</v>
      </c>
    </row>
    <row r="76" spans="1:3" ht="409.5" x14ac:dyDescent="0.25">
      <c r="A76" t="s">
        <v>200</v>
      </c>
      <c r="B76" s="3">
        <v>0</v>
      </c>
      <c r="C76" s="4" t="s">
        <v>289</v>
      </c>
    </row>
    <row r="77" spans="1:3" ht="409.5" x14ac:dyDescent="0.25">
      <c r="A77" t="s">
        <v>159</v>
      </c>
      <c r="B77" s="3">
        <v>0</v>
      </c>
      <c r="C77" s="4" t="s">
        <v>290</v>
      </c>
    </row>
    <row r="78" spans="1:3" ht="409.5" x14ac:dyDescent="0.25">
      <c r="A78" t="s">
        <v>141</v>
      </c>
      <c r="B78" s="3">
        <v>0</v>
      </c>
      <c r="C78" s="4" t="s">
        <v>291</v>
      </c>
    </row>
    <row r="79" spans="1:3" ht="409.5" x14ac:dyDescent="0.25">
      <c r="A79" t="s">
        <v>181</v>
      </c>
      <c r="B79" s="3">
        <v>0</v>
      </c>
      <c r="C79" s="4" t="s">
        <v>292</v>
      </c>
    </row>
    <row r="80" spans="1:3" ht="409.5" x14ac:dyDescent="0.25">
      <c r="A80" t="s">
        <v>44</v>
      </c>
      <c r="B80" s="3">
        <v>0</v>
      </c>
      <c r="C80" s="4" t="s">
        <v>293</v>
      </c>
    </row>
    <row r="81" spans="1:3" ht="409.5" x14ac:dyDescent="0.25">
      <c r="A81" t="s">
        <v>204</v>
      </c>
      <c r="B81" s="3">
        <v>0</v>
      </c>
      <c r="C81" s="4" t="s">
        <v>294</v>
      </c>
    </row>
    <row r="82" spans="1:3" ht="409.5" x14ac:dyDescent="0.25">
      <c r="A82" t="s">
        <v>7</v>
      </c>
      <c r="B82" s="3">
        <v>0</v>
      </c>
      <c r="C82" s="4" t="s">
        <v>295</v>
      </c>
    </row>
    <row r="83" spans="1:3" ht="409.5" x14ac:dyDescent="0.25">
      <c r="A83" t="s">
        <v>136</v>
      </c>
      <c r="B83" s="3">
        <v>0</v>
      </c>
      <c r="C83" s="4" t="s">
        <v>296</v>
      </c>
    </row>
    <row r="84" spans="1:3" ht="409.5" x14ac:dyDescent="0.25">
      <c r="A84" t="s">
        <v>191</v>
      </c>
      <c r="B84" s="3">
        <v>0</v>
      </c>
      <c r="C84" s="4" t="s">
        <v>297</v>
      </c>
    </row>
    <row r="85" spans="1:3" ht="409.5" x14ac:dyDescent="0.25">
      <c r="A85" t="s">
        <v>78</v>
      </c>
      <c r="B85" s="3">
        <v>0</v>
      </c>
      <c r="C85" s="4" t="s">
        <v>298</v>
      </c>
    </row>
    <row r="86" spans="1:3" ht="409.5" x14ac:dyDescent="0.25">
      <c r="A86" t="s">
        <v>21</v>
      </c>
      <c r="B86" s="3">
        <v>0</v>
      </c>
      <c r="C86" s="4" t="s">
        <v>299</v>
      </c>
    </row>
    <row r="87" spans="1:3" ht="409.5" x14ac:dyDescent="0.25">
      <c r="A87" t="s">
        <v>96</v>
      </c>
      <c r="B87" s="3">
        <v>0</v>
      </c>
      <c r="C87" s="4" t="s">
        <v>300</v>
      </c>
    </row>
    <row r="88" spans="1:3" ht="409.5" x14ac:dyDescent="0.25">
      <c r="A88" t="s">
        <v>134</v>
      </c>
      <c r="B88" s="3">
        <v>0</v>
      </c>
      <c r="C88" s="4" t="s">
        <v>301</v>
      </c>
    </row>
    <row r="89" spans="1:3" ht="409.5" x14ac:dyDescent="0.25">
      <c r="A89" t="s">
        <v>61</v>
      </c>
      <c r="B89" s="3">
        <v>0</v>
      </c>
      <c r="C89" s="4" t="s">
        <v>302</v>
      </c>
    </row>
    <row r="90" spans="1:3" ht="409.5" x14ac:dyDescent="0.25">
      <c r="A90" t="s">
        <v>167</v>
      </c>
      <c r="B90" s="3">
        <v>0</v>
      </c>
      <c r="C90" s="4" t="s">
        <v>303</v>
      </c>
    </row>
    <row r="91" spans="1:3" ht="409.5" x14ac:dyDescent="0.25">
      <c r="A91" t="s">
        <v>9</v>
      </c>
      <c r="B91" s="3">
        <v>0</v>
      </c>
      <c r="C91" s="4" t="s">
        <v>304</v>
      </c>
    </row>
    <row r="92" spans="1:3" ht="409.5" x14ac:dyDescent="0.25">
      <c r="A92" t="s">
        <v>67</v>
      </c>
      <c r="B92" s="3">
        <v>0</v>
      </c>
      <c r="C92" s="4" t="s">
        <v>305</v>
      </c>
    </row>
    <row r="93" spans="1:3" ht="409.5" x14ac:dyDescent="0.25">
      <c r="A93" t="s">
        <v>210</v>
      </c>
      <c r="B93" s="3">
        <v>0</v>
      </c>
      <c r="C93" s="4" t="s">
        <v>306</v>
      </c>
    </row>
    <row r="94" spans="1:3" ht="409.5" x14ac:dyDescent="0.25">
      <c r="A94" t="s">
        <v>151</v>
      </c>
      <c r="B94" s="3">
        <v>0</v>
      </c>
      <c r="C94" s="4" t="s">
        <v>307</v>
      </c>
    </row>
    <row r="95" spans="1:3" ht="345" x14ac:dyDescent="0.25">
      <c r="A95" t="s">
        <v>121</v>
      </c>
      <c r="B95" s="3">
        <v>1</v>
      </c>
      <c r="C95" s="4" t="s">
        <v>308</v>
      </c>
    </row>
    <row r="96" spans="1:3" ht="409.5" x14ac:dyDescent="0.25">
      <c r="A96" t="s">
        <v>175</v>
      </c>
      <c r="B96" s="3">
        <v>1</v>
      </c>
      <c r="C96" s="4" t="s">
        <v>309</v>
      </c>
    </row>
    <row r="97" spans="1:3" ht="315" x14ac:dyDescent="0.25">
      <c r="A97" t="s">
        <v>48</v>
      </c>
      <c r="B97" s="3">
        <v>0</v>
      </c>
      <c r="C97" s="4" t="s">
        <v>310</v>
      </c>
    </row>
    <row r="98" spans="1:3" ht="409.5" x14ac:dyDescent="0.25">
      <c r="A98" t="s">
        <v>161</v>
      </c>
      <c r="B98" s="3">
        <v>0</v>
      </c>
      <c r="C98" s="4" t="s">
        <v>311</v>
      </c>
    </row>
    <row r="99" spans="1:3" ht="409.5" x14ac:dyDescent="0.25">
      <c r="A99" t="s">
        <v>123</v>
      </c>
      <c r="B99" s="3">
        <v>0</v>
      </c>
      <c r="C99" s="4" t="s">
        <v>312</v>
      </c>
    </row>
    <row r="100" spans="1:3" ht="409.5" x14ac:dyDescent="0.25">
      <c r="A100" t="s">
        <v>173</v>
      </c>
      <c r="B100" s="3">
        <v>0</v>
      </c>
      <c r="C100" s="4" t="s">
        <v>313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samples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2026-03-02T17:49:25Z</dcterms:created>
  <dcterms:modified xsi:type="dcterms:W3CDTF">2026-05-29T13:27:16Z</dcterms:modified>
</cp:coreProperties>
</file>