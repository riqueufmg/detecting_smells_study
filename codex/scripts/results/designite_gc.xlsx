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alhousie\Desktop\results\rq4\"/>
    </mc:Choice>
  </mc:AlternateContent>
  <xr:revisionPtr revIDLastSave="0" documentId="13_ncr:1_{CDD0789D-958B-4637-9EC5-712F22352A6D}" xr6:coauthVersionLast="47" xr6:coauthVersionMax="47" xr10:uidLastSave="{00000000-0000-0000-0000-000000000000}"/>
  <bookViews>
    <workbookView xWindow="-120" yWindow="-120" windowWidth="20730" windowHeight="11040" xr2:uid="{4CFA2B7B-2954-452C-B3E8-39BCF96D755A}"/>
  </bookViews>
  <sheets>
    <sheet name="Samples" sheetId="6" r:id="rId1"/>
    <sheet name="Codex" sheetId="9" r:id="rId2"/>
  </sheets>
  <definedNames>
    <definedName name="_xlnm._FilterDatabase" localSheetId="0" hidden="1">Samples!$A$1:$G$1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6" l="1"/>
  <c r="J9" i="6"/>
  <c r="J8" i="6"/>
  <c r="J7" i="6"/>
  <c r="J5" i="6"/>
  <c r="J4" i="6"/>
  <c r="J3" i="6"/>
  <c r="J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2" i="6"/>
</calcChain>
</file>

<file path=xl/sharedStrings.xml><?xml version="1.0" encoding="utf-8"?>
<sst xmlns="http://schemas.openxmlformats.org/spreadsheetml/2006/main" count="615" uniqueCount="325">
  <si>
    <t>smell</t>
  </si>
  <si>
    <t>package</t>
  </si>
  <si>
    <t>God Component</t>
  </si>
  <si>
    <t>(default package)</t>
  </si>
  <si>
    <t>another</t>
  </si>
  <si>
    <t>box</t>
  </si>
  <si>
    <t>com.example</t>
  </si>
  <si>
    <t>com.github.javaparser.ast.stmt</t>
  </si>
  <si>
    <t>com.github.javaparser.ast.type</t>
  </si>
  <si>
    <t>com.github.javaparser.ast.validator</t>
  </si>
  <si>
    <t>com.github.javaparser.generator.core.utils</t>
  </si>
  <si>
    <t>com.github.javaparser.generator.core.visitor</t>
  </si>
  <si>
    <t>com.github.javaparser.metamodel</t>
  </si>
  <si>
    <t>com.github.javaparser.printer</t>
  </si>
  <si>
    <t>com.github.javaparser.printer.concretesyntaxmodel</t>
  </si>
  <si>
    <t>com.github.javaparser.printer.configuration</t>
  </si>
  <si>
    <t>com.github.javaparser.printer.lexicalpreservation</t>
  </si>
  <si>
    <t>com.github.javaparser.quality</t>
  </si>
  <si>
    <t>com.github.javaparser.resolution.declarations</t>
  </si>
  <si>
    <t>com.github.javaparser.resolution.promotion</t>
  </si>
  <si>
    <t>com.github.javaparser.resolution.types</t>
  </si>
  <si>
    <t>com.github.javaparser.symbolsolver</t>
  </si>
  <si>
    <t>com.github.javaparser.symbolsolver.declarations.common</t>
  </si>
  <si>
    <t>com.github.javaparser.symbolsolver.javaparsermodel.contexts</t>
  </si>
  <si>
    <t>com.github.javaparser.symbolsolver.javassistmodel</t>
  </si>
  <si>
    <t>com.github.javaparser.symbolsolver.reflectionmodel</t>
  </si>
  <si>
    <t>com.github.javaparser.symbolsolver.reflectionmodel.comparators</t>
  </si>
  <si>
    <t>com.github.javaparser.symbolsolver.resolution</t>
  </si>
  <si>
    <t>com.github.javaparser.symbolsolver.resolution.naming</t>
  </si>
  <si>
    <t>com.github.javaparser.symbolsolver.resolution.typesolvers</t>
  </si>
  <si>
    <t>com.google.googlejavaformat</t>
  </si>
  <si>
    <t>com.google.googlejavaformat.java.javadoc</t>
  </si>
  <si>
    <t>com.google.gson.internal</t>
  </si>
  <si>
    <t>com.google.gson.internal.bind</t>
  </si>
  <si>
    <t>com.google.gson.internal.reflect</t>
  </si>
  <si>
    <t>com.google.gson.internal.sql</t>
  </si>
  <si>
    <t>com.google.zxing.aztec.decoder</t>
  </si>
  <si>
    <t>com.google.zxing.client.android</t>
  </si>
  <si>
    <t>com.google.zxing.client.android.camera</t>
  </si>
  <si>
    <t>com.google.zxing.client.android.wifi</t>
  </si>
  <si>
    <t>com.google.zxing.client.j2se</t>
  </si>
  <si>
    <t>com.google.zxing.client.result</t>
  </si>
  <si>
    <t>com.google.zxing.common</t>
  </si>
  <si>
    <t>com.google.zxing.oned</t>
  </si>
  <si>
    <t>com.google.zxing.oned.rss</t>
  </si>
  <si>
    <t>com.google.zxing.oned.rss.expanded</t>
  </si>
  <si>
    <t>com.google.zxing.pdf417</t>
  </si>
  <si>
    <t>com.google.zxing.qrcode</t>
  </si>
  <si>
    <t>com.google.zxing.qrcode.encoder</t>
  </si>
  <si>
    <t>demo</t>
  </si>
  <si>
    <t>foo</t>
  </si>
  <si>
    <t>issue1945.main</t>
  </si>
  <si>
    <t>issue241</t>
  </si>
  <si>
    <t>japa.bdd.samples</t>
  </si>
  <si>
    <t>japa.parser.comments</t>
  </si>
  <si>
    <t>main</t>
  </si>
  <si>
    <t>net.bytebuddy.build.gradle</t>
  </si>
  <si>
    <t>net.bytebuddy.description.modifier</t>
  </si>
  <si>
    <t>net.bytebuddy.dynamic.scaffold.inline</t>
  </si>
  <si>
    <t>net.bytebuddy.implementation.bytecode</t>
  </si>
  <si>
    <t>net.bytebuddy.implementation.bytecode.assign</t>
  </si>
  <si>
    <t>net.bytebuddy.implementation.bytecode.assign.primitive</t>
  </si>
  <si>
    <t>org.adoptopenjdk.jitwatch.compilation</t>
  </si>
  <si>
    <t>org.adoptopenjdk.jitwatch.core</t>
  </si>
  <si>
    <t>org.adoptopenjdk.jitwatch.hotthrow</t>
  </si>
  <si>
    <t>org.adoptopenjdk.jitwatch.inline</t>
  </si>
  <si>
    <t>org.adoptopenjdk.jitwatch.jarscan.sequencecount</t>
  </si>
  <si>
    <t>org.adoptopenjdk.jitwatch.jvmlang</t>
  </si>
  <si>
    <t>org.adoptopenjdk.jitwatch.model.assembly.x86</t>
  </si>
  <si>
    <t>org.adoptopenjdk.jitwatch.parser.zing</t>
  </si>
  <si>
    <t>org.adoptopenjdk.jitwatch.process.javap</t>
  </si>
  <si>
    <t>org.adoptopenjdk.jitwatch.process.runtime</t>
  </si>
  <si>
    <t>org.adoptopenjdk.jitwatch.report.locks</t>
  </si>
  <si>
    <t>org.adoptopenjdk.jitwatch.treevisitor</t>
  </si>
  <si>
    <t>org.adoptopenjdk.jitwatch.ui.browser</t>
  </si>
  <si>
    <t>org.adoptopenjdk.jitwatch.ui.nmethod.compilerthread</t>
  </si>
  <si>
    <t>org.adoptopenjdk.jitwatch.ui.parserchooser</t>
  </si>
  <si>
    <t>org.adoptopenjdk.jitwatch.ui.triview.bytecode</t>
  </si>
  <si>
    <t>org.apache.commons.io.channels</t>
  </si>
  <si>
    <t>org.apache.commons.io.charset</t>
  </si>
  <si>
    <t>org.apache.commons.io.function</t>
  </si>
  <si>
    <t>org.apache.commons.lang3.compare</t>
  </si>
  <si>
    <t>org.apache.commons.lang3.math</t>
  </si>
  <si>
    <t>org.apache.commons.lang3.mutable</t>
  </si>
  <si>
    <t>org.apache.commons.lang3.tuple</t>
  </si>
  <si>
    <t>org.gradle.work</t>
  </si>
  <si>
    <t>org.jsoup.examples</t>
  </si>
  <si>
    <t>org.jsoup.helper</t>
  </si>
  <si>
    <t>org.jsoup.safety</t>
  </si>
  <si>
    <t>com.github.javaparser.javadoc.description</t>
  </si>
  <si>
    <t>com.github.javaparser.symbolsolver.cache</t>
  </si>
  <si>
    <t>com.google.gson</t>
  </si>
  <si>
    <t>com.google.gson.reflect</t>
  </si>
  <si>
    <t>com.google.gson.stream</t>
  </si>
  <si>
    <t>com.google.zxing</t>
  </si>
  <si>
    <t>com.google.zxing.client.android.result.supplement</t>
  </si>
  <si>
    <t>com.google.zxing.maxicode</t>
  </si>
  <si>
    <t>com.google.zxing.multi.qrcode.detector</t>
  </si>
  <si>
    <t>issue1945.interfaces</t>
  </si>
  <si>
    <t>org.apache.commons.io.monitor</t>
  </si>
  <si>
    <t>org.apache.commons.io.output</t>
  </si>
  <si>
    <t>org.apache.commons.lang3.concurrent.locks</t>
  </si>
  <si>
    <t>project</t>
  </si>
  <si>
    <t>prompt_file</t>
  </si>
  <si>
    <t>context_size</t>
  </si>
  <si>
    <t>commons-lang</t>
  </si>
  <si>
    <t>data/processed/prompts/god_component/commons-lang/org_apache_commons_lang3_concurrent_locks.txt</t>
  </si>
  <si>
    <t>commons-io</t>
  </si>
  <si>
    <t>data/processed/prompts/god_component/commons-io/org_apache_commons_io_channels.txt</t>
  </si>
  <si>
    <t>data/processed/prompts/god_component/commons-lang/org_apache_commons_lang3_math.txt</t>
  </si>
  <si>
    <t>javaparser</t>
  </si>
  <si>
    <t>data/processed/prompts/god_component/javaparser/com_github_javaparser_printer_concretesyntaxmodel.txt</t>
  </si>
  <si>
    <t>zxing</t>
  </si>
  <si>
    <t>data/processed/prompts/god_component/zxing/com_google_zxing_maxicode.txt</t>
  </si>
  <si>
    <t>data/processed/prompts/god_component/javaparser/japa_bdd_samples.txt</t>
  </si>
  <si>
    <t>data/processed/prompts/god_component/zxing/com_google_zxing_client_android_camera.txt</t>
  </si>
  <si>
    <t>data/processed/prompts/god_component/javaparser/com_github_javaparser_generator_core_visitor.txt</t>
  </si>
  <si>
    <t>data/processed/prompts/god_component/zxing/com_google_zxing_qrcode.txt</t>
  </si>
  <si>
    <t>jitwatch</t>
  </si>
  <si>
    <t>data/processed/prompts/god_component/jitwatch/org_adoptopenjdk_jitwatch_ui_triview_bytecode.txt</t>
  </si>
  <si>
    <t>data/processed/prompts/god_component/javaparser/japa_parser_comments.txt</t>
  </si>
  <si>
    <t>byte-buddy</t>
  </si>
  <si>
    <t>data/processed/prompts/god_component/byte-buddy/net_bytebuddy_implementation_bytecode_assign.txt</t>
  </si>
  <si>
    <t>data/processed/prompts/god_component/jitwatch/org_adoptopenjdk_jitwatch_process_runtime.txt</t>
  </si>
  <si>
    <t>data/processed/prompts/god_component/javaparser/demo.txt</t>
  </si>
  <si>
    <t>data/processed/prompts/god_component/javaparser/com_github_javaparser_symbolsolver_declarations_common.txt</t>
  </si>
  <si>
    <t>data/processed/prompts/god_component/javaparser/com_github_javaparser_ast_type.txt</t>
  </si>
  <si>
    <t>data/processed/prompts/god_component/zxing/com_google_zxing_multi_qrcode_detector.txt</t>
  </si>
  <si>
    <t>data/processed/prompts/god_component/byte-buddy/net_bytebuddy_implementation_bytecode.txt</t>
  </si>
  <si>
    <t>data/processed/prompts/god_component/commons-io/org_apache_commons_io_function.txt</t>
  </si>
  <si>
    <t>data/processed/prompts/god_component/zxing/com_google_zxing_client_result.txt</t>
  </si>
  <si>
    <t>data/processed/prompts/god_component/zxing/com_google_zxing.txt</t>
  </si>
  <si>
    <t>data/processed/prompts/god_component/javaparser/issue1945_interfaces.txt</t>
  </si>
  <si>
    <t>gson</t>
  </si>
  <si>
    <t>data/processed/prompts/god_component/gson/com_example.txt</t>
  </si>
  <si>
    <t>data/processed/prompts/god_component/jitwatch/org_adoptopenjdk_jitwatch_ui_nmethod_compilerthread.txt</t>
  </si>
  <si>
    <t>data/processed/prompts/god_component/javaparser/com_github_javaparser_printer_configuration.txt</t>
  </si>
  <si>
    <t>data/processed/prompts/god_component/javaparser/com_github_javaparser_symbolsolver_reflectionmodel.txt</t>
  </si>
  <si>
    <t>data/processed/prompts/god_component/javaparser/com_github_javaparser_generator_core_utils.txt</t>
  </si>
  <si>
    <t>data/processed/prompts/god_component/javaparser/box.txt</t>
  </si>
  <si>
    <t>data/processed/prompts/god_component/commons-io/org_apache_commons_io_output.txt</t>
  </si>
  <si>
    <t>data/processed/prompts/god_component/commons-lang/org_apache_commons_lang3_mutable.txt</t>
  </si>
  <si>
    <t>data/processed/prompts/god_component/javaparser/com_github_javaparser_symbolsolver_resolution.txt</t>
  </si>
  <si>
    <t>data/processed/prompts/god_component/javaparser/another.txt</t>
  </si>
  <si>
    <t>data/processed/prompts/god_component/javaparser/issue1945_main.txt</t>
  </si>
  <si>
    <t>data/processed/prompts/god_component/jitwatch/org_adoptopenjdk_jitwatch_process_javap.txt</t>
  </si>
  <si>
    <t>data/processed/prompts/god_component/jitwatch/org_adoptopenjdk_jitwatch_jarscan_sequencecount.txt</t>
  </si>
  <si>
    <t>data/processed/prompts/god_component/javaparser/com_github_javaparser_symbolsolver_javaparsermodel_contexts.txt</t>
  </si>
  <si>
    <t>jsoup</t>
  </si>
  <si>
    <t>data/processed/prompts/god_component/jsoup/org_jsoup_examples.txt</t>
  </si>
  <si>
    <t>data/processed/prompts/god_component/javaparser/com_github_javaparser_symbolsolver_javassistmodel.txt</t>
  </si>
  <si>
    <t>google-java-format</t>
  </si>
  <si>
    <t>data/processed/prompts/god_component/google-java-format/com_google_googlejavaformat.txt</t>
  </si>
  <si>
    <t>data/processed/prompts/god_component/jitwatch/org_adoptopenjdk_jitwatch_jvmlang.txt</t>
  </si>
  <si>
    <t>data/processed/prompts/god_component/jitwatch/org_adoptopenjdk_jitwatch_hotthrow.txt</t>
  </si>
  <si>
    <t>data/processed/prompts/god_component/gson/com_google_gson_internal_reflect.txt</t>
  </si>
  <si>
    <t>data/processed/prompts/god_component/javaparser/com_github_javaparser_resolution_declarations.txt</t>
  </si>
  <si>
    <t>data/processed/prompts/god_component/javaparser/com_github_javaparser_ast_validator.txt</t>
  </si>
  <si>
    <t>data/processed/prompts/god_component/zxing/com_google_zxing_client_android_wifi.txt</t>
  </si>
  <si>
    <t>data/processed/prompts/god_component/zxing/com_google_zxing_client_android.txt</t>
  </si>
  <si>
    <t>data/processed/prompts/god_component/zxing/com_google_zxing_oned_rss.txt</t>
  </si>
  <si>
    <t>data/processed/prompts/god_component/javaparser/main.txt</t>
  </si>
  <si>
    <t>data/processed/prompts/god_component/jitwatch/org_adoptopenjdk_jitwatch_inline.txt</t>
  </si>
  <si>
    <t>data/processed/prompts/god_component/javaparser/com_github_javaparser_resolution_promotion.txt</t>
  </si>
  <si>
    <t>data/processed/prompts/god_component/zxing/com_google_zxing_aztec_decoder.txt</t>
  </si>
  <si>
    <t>data/processed/prompts/god_component/commons-lang/org_apache_commons_lang3_tuple.txt</t>
  </si>
  <si>
    <t>data/processed/prompts/god_component/commons-io/org_apache_commons_io_monitor.txt</t>
  </si>
  <si>
    <t>data/processed/prompts/god_component/jitwatch/org_adoptopenjdk_jitwatch_ui_parserchooser.txt</t>
  </si>
  <si>
    <t>implements.duplicate</t>
  </si>
  <si>
    <t>data/processed/prompts/god_component/javaparser/implements_duplicate.txt</t>
  </si>
  <si>
    <t>data/processed/prompts/god_component/zxing/com_google_zxing_common.txt</t>
  </si>
  <si>
    <t>data/processed/prompts/god_component/javaparser/com_github_javaparser_printer_lexicalpreservation.txt</t>
  </si>
  <si>
    <t>data/processed/prompts/god_component/jsoup/org_jsoup_safety.txt</t>
  </si>
  <si>
    <t>data/processed/prompts/god_component/google-java-format/com_google_googlejavaformat_java_javadoc.txt</t>
  </si>
  <si>
    <t>data/processed/prompts/god_component/javaparser/com_github_javaparser_ast_stmt.txt</t>
  </si>
  <si>
    <t>data/processed/prompts/god_component/byte-buddy/org_gradle_work.txt</t>
  </si>
  <si>
    <t>data/processed/prompts/god_component/byte-buddy/net_bytebuddy_implementation_bytecode_assign_primitive.txt</t>
  </si>
  <si>
    <t>data/processed/prompts/god_component/javaparser/foo.txt</t>
  </si>
  <si>
    <t>data/processed/prompts/god_component/javaparser/com_github_javaparser_printer.txt</t>
  </si>
  <si>
    <t>data/processed/prompts/god_component/javaparser/com_github_javaparser_symbolsolver.txt</t>
  </si>
  <si>
    <t>data/processed/prompts/god_component/jitwatch/org_adoptopenjdk_jitwatch_core.txt</t>
  </si>
  <si>
    <t>data/processed/prompts/god_component/commons-io/org_apache_commons_io_charset.txt</t>
  </si>
  <si>
    <t>data/processed/prompts/god_component/javaparser/issue241.txt</t>
  </si>
  <si>
    <t>data/processed/prompts/god_component/javaparser/com_github_javaparser_symbolsolver_resolution_typesolvers.txt</t>
  </si>
  <si>
    <t>data/processed/prompts/god_component/javaparser/(default package).txt</t>
  </si>
  <si>
    <t>data/processed/prompts/god_component/byte-buddy/net_bytebuddy_dynamic_scaffold_inline.txt</t>
  </si>
  <si>
    <t>data/processed/prompts/god_component/gson/com_google_gson_internal_sql.txt</t>
  </si>
  <si>
    <t>data/processed/prompts/god_component/gson/com_google_gson.txt</t>
  </si>
  <si>
    <t>data/processed/prompts/god_component/gson/com_google_gson_reflect.txt</t>
  </si>
  <si>
    <t>data/processed/prompts/god_component/jitwatch/org_adoptopenjdk_jitwatch_parser_zing.txt</t>
  </si>
  <si>
    <t>data/processed/prompts/god_component/zxing/com_google_zxing_oned.txt</t>
  </si>
  <si>
    <t>data/processed/prompts/god_component/gson/com_google_gson_stream.txt</t>
  </si>
  <si>
    <t>data/processed/prompts/god_component/gson/com_google_gson_internal_bind.txt</t>
  </si>
  <si>
    <t>data/processed/prompts/god_component/jitwatch/org_adoptopenjdk_jitwatch_treevisitor.txt</t>
  </si>
  <si>
    <t>data/processed/prompts/god_component/jitwatch/org_adoptopenjdk_jitwatch_compilation.txt</t>
  </si>
  <si>
    <t>data/processed/prompts/god_component/jitwatch/org_adoptopenjdk_jitwatch_report_locks.txt</t>
  </si>
  <si>
    <t>data/processed/prompts/god_component/jitwatch/org_adoptopenjdk_jitwatch_ui_browser.txt</t>
  </si>
  <si>
    <t>data/processed/prompts/god_component/javaparser/com_github_javaparser_metamodel.txt</t>
  </si>
  <si>
    <t>data/processed/prompts/god_component/javaparser/com_github_javaparser_symbolsolver_cache.txt</t>
  </si>
  <si>
    <t>data/processed/prompts/god_component/javaparser/com_github_javaparser_quality.txt</t>
  </si>
  <si>
    <t>data/processed/prompts/god_component/javaparser/com_github_javaparser_symbolsolver_reflectionmodel_comparators.txt</t>
  </si>
  <si>
    <t>data/processed/prompts/god_component/gson/com_google_gson_internal.txt</t>
  </si>
  <si>
    <t>data/processed/prompts/god_component/javaparser/com_github_javaparser_symbolsolver_resolution_naming.txt</t>
  </si>
  <si>
    <t>data/processed/prompts/god_component/zxing/com_google_zxing_client_android_result_supplement.txt</t>
  </si>
  <si>
    <t>data/processed/prompts/god_component/jitwatch/org_adoptopenjdk_jitwatch_model_assembly_x86.txt</t>
  </si>
  <si>
    <t>data/processed/prompts/god_component/commons-lang/org_apache_commons_lang3_compare.txt</t>
  </si>
  <si>
    <t>data/processed/prompts/god_component/zxing/com_google_zxing_client_j2se.txt</t>
  </si>
  <si>
    <t>data/processed/prompts/god_component/javaparser/com_github_javaparser_javadoc_description.txt</t>
  </si>
  <si>
    <t>data/processed/prompts/god_component/byte-buddy/net_bytebuddy_build_gradle.txt</t>
  </si>
  <si>
    <t>data/processed/prompts/god_component/jsoup/org_jsoup_helper.txt</t>
  </si>
  <si>
    <t>data/processed/prompts/god_component/zxing/com_google_zxing_oned_rss_expanded.txt</t>
  </si>
  <si>
    <t>data/processed/prompts/god_component/zxing/com_google_zxing_qrcode_encoder.txt</t>
  </si>
  <si>
    <t>data/processed/prompts/god_component/zxing/com_google_zxing_pdf417.txt</t>
  </si>
  <si>
    <t>data/processed/prompts/god_component/byte-buddy/net_bytebuddy_description_modifier.txt</t>
  </si>
  <si>
    <t>data/processed/prompts/god_component/javaparser/com_github_javaparser_resolution_types.txt</t>
  </si>
  <si>
    <t>designite</t>
  </si>
  <si>
    <t>`byte-buddy-dep/src/main/java/net/bytebuddy/implementation/bytecode/package-info.java` describes the package as responsible for creating Java byte code, and the exact package contains 16 production source files totaling 1824 LOC. The package concentrates several distinct responsibilities in one place: core abstractions (`StackManipulation.java`, `ByteCodeAppender.java`, `StackSize.java`), stack/object operations (`Duplication.java`, `Removal.java`, `TypeCreation.java`, `Throw.java`), and arithmetic/shift operations (`Addition.java`, `Subtraction.java`, `Multiplication.java`, `Division.java`, `Remainder.java`, `ShiftLeft.java`, `ShiftRight.java`, `Negation.java`). This breadth and size indicate a God Component.</t>
  </si>
  <si>
    <t>core/src/main/java/com/google/zxing/client/result has 37 production classes and 3,918 LOC, including 22 *Parser classes and 14 *ParsedResult classes. ResultParser.java centralizes a static chain of 20 parser implementations, and representative files such as VCardResultParser.java, WifiResultParser.java, VINResultParser.java, and CalendarParsedResult.java show the package covers many distinct responsibilities (contacts, calendar, Wi-Fi, VIN, email, SMS, URI, ISBN, product, geo), which is strong evidence of a God Component.</t>
  </si>
  <si>
    <t>The exact package contains 16 production classes plus package-info, totaling 3394 LOC across files such as ReflectionClassDeclaration.java (409), ReflectionInterfaceDeclaration.java (530), ReflectionRecordDeclaration.java (449), ReflectionClassAdapter.java (236), ReflectionMethodResolutionLogic.java (187), and ReflectionFactory.java (146). Those classes span many responsibilities in one package: class/interface/enum/record/annotation reflection declarations, fields, methods, constructors, parameters, type parameters, enum constants, annotation members, a factory, and shared method-resolution logic. This is a broad concentration of reflection-model behavior in a single package, which fits God Component.</t>
  </si>
  <si>
    <t>Yes: this package contains 41 Java source files and 7,327 total LOC under `src/main/java/org/apache/commons/io/output` (including `package-info.java`). The package-info describes it broadly as providing output classes such as `OutputStream` and `Writer`, and the inspected classes show many unrelated responsibilities in one package: delegating/proxy streams (`ProxyOutputStream`, `ProxyWriter`), threshold/file-backed output (`DeferredFileOutputStream`, `ThresholdingOutputStream`, `LockableFileWriter`), adapters between APIs (`WriterOutputStream`, `AppendableWriter`, `AppendableOutputStream`), special-purpose utilities (`XmlStreamWriter`, `QueueOutputStream`, `DemuxOutputStream`), and sentinel wrappers (`NullOutputStream`, `ClosedOutputStream`, `BrokenOutputStream`, `TeeOutputStream`). This breadth and volume indicate a centralized, decomposable God Component.</t>
  </si>
  <si>
    <t>The exact package in `javaparser-symbol-solver-core/src/main/java/com/github/javaparser/symbolsolver/javaparsermodel/contexts` contains 37 Java classes totaling 5,322 LOC. I inspected `AbstractJavaParserContext.java`, `StatementContext.java`, `ExpressionContext.java`, `JavaParserTypeDeclarationAdapter.java`, `ContextHelper.java`, and the concrete contexts such as `MethodCallExprContext.java`, `CompilationUnitContext.java`, `ClassOrInterfaceDeclarationContext.java`, `IfStatementContext.java`, `LambdaExprContext.java`, `RecordDeclarationContext.java`, and `AnnotationDeclarationContext.java`. These files show the package centralizes symbol-resolution logic for many unrelated AST areas (methods, constructors, classes/interfaces, enums, records, annotations, statements, expressions, and helper/adapter logic), which is strong evidence of a God Component.</t>
  </si>
  <si>
    <t>The package contains 15 production classes in `javaparser-symbol-solver-core/src/main/java/com/github/javaparser/symbolsolver/javassistmodel/` totaling about 2.2k LOC: `JavassistClassDeclaration.java`, `JavassistInterfaceDeclaration.java`, `JavassistEnumDeclaration.java`, `JavassistRecordDeclaration.java`, `JavassistAnnotationDeclaration.java`, `JavassistMethodDeclaration.java`, `JavassistConstructorDeclaration.java`, `JavassistFieldDeclaration.java`, `JavassistParameterDeclaration.java`, `JavassistTypeParameter.java`, `JavassistEnumConstantDeclaration.java`, `JavassistAnnotationMemberDeclaration.java`, `JavassistFactory.java`, `JavassistUtils.java`, and the two adapters. These classes cover many responsibilities at once: type-declaration wrappers for class/interface/enum/annotation/record, member wrappers, type conversion, and method/symbol resolution. The package centralizes all Javassist-backed symbol-solver logic, which is strong evidence of a God Component.</t>
  </si>
  <si>
    <t>The package has 21 direct Java classes totaling 3,302 LOC (e.g. `CaptureActivity.java` 768 lines, `Intents.java` 304, `DecodeHintManager.java` 234, `HttpHelper.java` 215, `CaptureActivityHandler.java` 169). The inspected files show it centralizes many unrelated responsibilities in one package: camera/scan UI and state machine (`CaptureActivity.java`, `CaptureActivityHandler.java`), intent/API constants (`Intents.java`), decoding-hint parsing (`DecodeHintManager.java`), preferences UI (`PreferencesFragment.java`), audio/vibration (`BeepManager.java`), HTTP utilities (`HttpHelper.java`), lifecycle/light/locale helpers (`InactivityTimer.java`, `AmbientLightManager.java`, `LocaleManager.java`), and support activities like `HelpActivity.java` and `PreferencesActivity.java`, which is consistent with a God Component.</t>
  </si>
  <si>
    <t>`docs/apidocs/com/google/zxing/common/package-summary.html` lists 16 top-level types in the package, and `core/src/main/java/com/google/zxing/common/*.java` totals about 3,900 LOC across files such as `BitArray.java` (359), `BitMatrix.java` (537), `HybridBinarizer.java` (237), `GlobalHistogramBinarizer.java` (203), `GridSampler.java` (174), `PerspectiveTransform.java` (156), `StringUtils.java` (262), and the ECI/decoder classes. The package concentrates several unrelated responsibilities: bit storage (`BitArray`, `BitMatrix`, `BitSource`), image binarization/sampling (`GlobalHistogramBinarizer`, `HybridBinarizer`, `GridSampler`, `DefaultGridSampler`), geometry (`PerspectiveTransform`), decode results (`DecoderResult`, `DetectorResult`), and charset/ECI handling (`CharacterSetECI`, `ECIInput`, `ECIEncoderSet`, `ECIStringBuilder`, `MinimalECIInput`), which is strong evidence of a God Component.</t>
  </si>
  <si>
    <t>The exact package contains 24 production classes in javaparser-core/src/main/java/com/github/javaparser/printer/lexicalpreservation, totaling 5,356 LOC. I inspected LexicalPreservingPrinter.java (882 LOC), LexicalDifferenceCalculator.java, Difference.java (1,206 LOC), NodeText.java, TextElementIteratorsFactory.java, and PhantomNodeLogic.java</t>
  </si>
  <si>
    <t>Yes: javaparser-core/src/main/java/com/github/javaparser/printer/ contains 12 production classes totaling 6,288 LOC, including two very large visitor implementations (DefaultPrettyPrinterVisitor.java at 2,067 LOC and PrettyPrintVisitor.java at 1,925 LOC) plus ConcreteSyntaxModel.java at 1,255 LOC. The package also centralizes several distinct responsibilities in one namespace: pretty-printing infrastructure (Printer, ConfigurablePrinter, PrettyPrinter, DefaultPrettyPrinter, SourcePrinter), syntax-model generation (ConcreteSyntaxModel), and separate XML/DOT/YAML printers (XmlPrinter, DotPrinter, YamlPrinter), which is strong evidence of a God Component.</t>
  </si>
  <si>
    <t>I found 65 actual Java types with no package declaration (default package), totaling 908 LOC, spread across many unrelated test-resource directories such as issue3277, differentiate_dot_expressions, recursion-issue, issue3100, and issue2489. The largest file is javaparser-core-testing/src/test/resources/com/github/javaparser/issue_samples/issue_2627/Ops_minimal.java at 265 LOC</t>
  </si>
  <si>
    <t>Yes: the exact root package contains 30 classes totaling 6,566 LOC, and it concentrates many distinct responsibilities in one place. `gson/src/main/java/com/google/gson/package-info.java` says the package provides `Gson` for JSON conversion</t>
  </si>
  <si>
    <t>The package is a large, centralized hub: there are 18 production classes in gson/src/main/java/com/google/gson/internal/bind totaling 4,538 LOC, and they cover many distinct responsibilities (basic adapters in TypeAdapters.java, reflection-based binding in ReflectiveTypeAdapterFactory.java, tree I/O in JsonTreeReader/JsonTreeWriter, and collection/map/array/enum/date/time adapters). Gson.java:322-399 shows the core Gson constructor wiring this package into the main serialization pipeline by registering many factories and adapters from it, so responsibility is concentrated rather than narrowly focused.</t>
  </si>
  <si>
    <t>`javaparser-core/src/main/java/com/github/javaparser/metamodel` contains 125 exact-package production classes (127 exact-package Java files total including 2 small tests), totaling about 10,257 LOC / 446,116 bytes. The package spans many responsibilities across declarations, expressions, statements, types, comments, modules, patterns, and literals. `JavaParserMetaModel.java` alone is 179,570 bytes and defines 119 `static final *MetaModel` fields plus large initialization routines, showing strong centralization and a God Component-style concentration of behavior.</t>
  </si>
  <si>
    <t>Inspected gson/src/main/java/com/google/gson/internal/package-info.java and the exact-package classes under gson/src/main/java/com/google/gson/internal/*.java: 16 classes, 3160 total LOC. The package concentrates many unrelated core responsibilities in one place, including object construction and unsafe instantiation (ConstructorConstructor.java, UnsafeAllocator.java), exclusion policy (Excluder.java), type utilities (GsonTypes.java, Primitives.java, JavaVersion.java), stream/tree I/O (Streams.java), a custom map implementation (LinkedTreeMap.java), and other cross-cutting helpers (NumberLimits.java, ReflectionAccessFilterHelper.java, LazilyParsedNumber.java, PreJava9DateFormatProvider.java, TroubleshootingGuide.java). Gson.java, GsonBuilder.java, and TypeToken.java import these internals directly, showing the package is a central hub rather than a narrowly focused component.</t>
  </si>
  <si>
    <t>Inspected byte-buddy-gradle-plugin/src/main/java/net/bytebuddy/build/gradle/package-info.java and the exact-package sources. The package contains 21 Java classes totaling 4,419 LOC</t>
  </si>
  <si>
    <t>`src/main/java/org/jsoup/helper/package-info.java` describes this as the package supporting core jsoup code, and the package contains 16 production source files totaling 3,590 LOC (`HttpConnection.java` 1,423 LOC</t>
  </si>
  <si>
    <t>Detected: the package contains 7 production classes totaling 2263 LOC (`core/src/main/java/com/google/zxing/qrcode/encoder/*.java`), with large central classes `Encoder.java` (648 LOC), `MinimalEncoder.java` (667 LOC), and `MatrixUtil.java` (477 LOC). `Encoder.java` alone handles mode selection, version selection, bit termination, Reed-Solomon EC generation/interleaving, mask selection, and matrix assembly</t>
  </si>
  <si>
    <t>codex</t>
  </si>
  <si>
    <t>I inspected src/main/java/org/apache/commons/lang3/concurrent/locks/LockingVisitors.java and src/main/java/org/apache/commons/lang3/concurrent/locks/package-info.java. The exact package contains only one production class (LockingVisitors) plus package-info</t>
  </si>
  <si>
    <t>Inspected src/main/java/org/apache/commons/io/channels/ByteArraySeekableByteChannel.java (289 LOC), CloseShieldChannel.java (105 LOC), CloseShieldChannelHandler.java (161 LOC), FileChannels.java (172 LOC), and package-info.java. The package contains only 4 production classes plus package docs, about 750 LOC total, and each class has a narrow, cohesive responsibility (byte-array-backed SeekableByteChannel, close-shield proxy/handler, and file/channel content comparison helpers). There is no evidence of a large, multi-responsibility package or excessive centralization.</t>
  </si>
  <si>
    <t>Inspected src/main/java/org/apache/commons/lang3/math/package-info.java, NumberUtils.java (1821 LOC), Fraction.java (923 LOC), and IEEE754rUtils.java (261 LOC). The package contains only 3 concrete classes (3039 LOC total), and their responsibilities are tightly cohesive numeric utilities: number parsing/conversion/comparison/min-max in NumberUtils, an immutable fraction type in Fraction, and IEEE-754 min/max helpers in IEEE754rUtils. This looks like a focused math utility package, not an excessively large or responsibility-centralizing God Component.</t>
  </si>
  <si>
    <t>Inspected the package sources under javaparser-core/src/main/java/com/github/javaparser/printer/concretesyntaxmodel/ (17 Java files, 1255 total LOC by wc -l). The package is a cohesive concrete-syntax-model layer: most classes are small single-purpose elements such as CsmNone, CsmIndent, CsmUnindent, CsmString, CsmChar, CsmTextBlock, CsmSingleReference, CsmComment, and PrintingHelper, while the larger files (CsmElement 178 LOC, CsmConditional 133, CsmList 133, CsmToken 121) still implement one focused concern each. ConcreteSyntaxModel.java and lexical-preservation classes import these types as a support library, so the package is central to pretty-printing but not an excessively broad multi-responsibility god component.</t>
  </si>
  <si>
    <t>I inspected the exact-package sources with `rg -n "^package com\.google\.zxing\.maxicode</t>
  </si>
  <si>
    <t>Inspected `javaparser-core-testing-bdd/src/test/resources/com/github/javaparser/samples/JavaConcepts.java` (397 LOC), `javaparser-core-testing/src/test/test_sourcecode/com/github/javaparser/printer/JavaConceptsBase.java` (83), `JavaConceptsMethods.java` (164), `JavaConceptsInnerClasses.java` (135), `JavaConceptsEnums.java` (70), and `JavaConceptsUgly.java` (60), plus `pretty_printing_java_concepts.story`. The package is a small, cohesive test-fixture set for Java syntax/pretty-printing samples, all centered on the same concept rather than a large production package with mixed responsibilities.</t>
  </si>
  <si>
    <t>Inspected [CameraManager.java](/data/henrique/detecting_smells_study/codex/data/repositories/zxing/zxing/android/src/com/google/zxing/client/android/camera/CameraManager.java), [CameraConfigurationManager.java](/data/henrique/detecting_smells_study/codex/data/repositories/zxing/zxing/android/src/com/google/zxing/client/android/camera/CameraConfigurationManager.java), [CameraConfigurationUtils.java](/data/henrique/detecting_smells_study/codex/data/repositories/zxing/zxing/android-core/src/main/java/com/google/zxing/client/android/camera/CameraConfigurationUtils.java), [AutoFocusManager.java](/data/henrique/detecting_smells_study/codex/data/repositories/zxing/zxing/android/src/com/google/zxing/client/android/camera/AutoFocusManager.java), [PreviewCallback.java](/data/henrique/detecting_smells_study/codex/data/repositories/zxing/zxing/android/src/com/google/zxing/client/android/camera/PreviewCallback.java), and [FrontLightMode.java](/data/henrique/detecting_smells_study/codex/data/repositories/zxing/zxing/android/src/com/google/zxing/client/android/camera/FrontLightMode.java). The exact package contains 6 types totaling 1,229 LOC, and their responsibilities are tightly scoped to camera setup, parameter tuning, autofocus, preview frame forwarding, and front-light preference handling</t>
  </si>
  <si>
    <t>Inspected `javaparser-core-generators/src/main/java/com/github/javaparser/generator/core/visitor/*.java` (15 classes, 1037 LOC total) plus the shared `javaparser-core-generators/src/main/java/com/github/javaparser/generator/VisitorGenerator.java`. The package is a cohesive set of narrow generators: each class extends `VisitorGenerator` and specializes one visitor variant (`GenericVisitorGenerator.java`, `VoidVisitorGenerator.java`, `CloneVisitorGenerator.java`, `HashCodeVisitorGenerator.java`, `ModifierVisitorGenerator.java`, `NoCommentEqualsVisitorGenerator.java`, etc.) rather than concentrating unrelated responsibilities in one package.</t>
  </si>
  <si>
    <t>Exact-package production sources are only core/src/main/java/com/google/zxing/qrcode/QRCodeReader.java (222 LOC) and core/src/main/java/com/google/zxing/qrcode/QRCodeWriter.java (135 LOC), 357 LOC total. Both are thin faÃ§ades: QRCodeReader delegates decoding to qrcode.detector.Detector and qrcode.decoder.Decoder, and QRCodeWriter delegates encoding to qrcode.encoder.Encoder and renderResult. The package itself does not centralize many responsibilities or contain many classes</t>
  </si>
  <si>
    <t>Inspected ui/src/main/java/org/adoptopenjdk/jitwatch/ui/triview/bytecode/ViewerBytecode.java and BytecodeLabel.java. The package contains exactly 2 classes totaling 524 LOC (ViewerBytecode 500 LOC, BytecodeLabel 24 LOC). BytecodeLabel is only a thin wrapper around BytecodeInstruction, and ViewerBytecode is a focused UI viewer for bytecode highlighting/navigation/tooltip rendering rather than a broad package of many responsibilities. There is no evidence of a large class count or package-wide responsibility concentration, so the package does not exhibit a God Component smell.</t>
  </si>
  <si>
    <t>Inspected `javaparser-symbol-solver-testing/src/test/resources/issue1574/ClassWithOrphanComments.java` (14 lines) and the test resource stories `javaparser-core-testing-bdd/src/test/resources/com/github/javaparser/comment_parsing_scenarios.story`, `comment_attribution_scenarios.story`, and `parsing_scenarios.story`. The only exact package matches are test-resource snippets</t>
  </si>
  <si>
    <t>Inspected byte-buddy-dep/src/main/java/net/bytebuddy/implementation/bytecode/assign/{package-info.java,Assigner.java,TypeCasting.java,InstanceCheck.java}. The exact package contains only 3 production classes plus one interface/p.package doc (312 LOC total), and each class has a narrow role: Assigner defines the API and two tiny enums, TypeCasting wraps CHECKCAST, and InstanceCheck wraps INSTANCEOF. The heavier assignment logic is split into subpackages (primitive/reference), so this package is a small faÃ§ade rather than a God Component.</t>
  </si>
  <si>
    <t>Inspected core/src/main/java/org/adoptopenjdk/jitwatch/process/runtime/IRuntime.java and the 6 implementations RuntimeJava.java, RuntimeGroovy.java, RuntimeJRuby.java, RuntimeJavaScript.java, RuntimeKotlin.java, RuntimeScala.java (7 files, 546 total LOC). They form a small cohesive adapter set: each class only launches one language runtime and maps a source file to a class name. LanguageManager.java instantiates these as a narrow factory, so the package is not excessively large and does not centralize many unrelated responsibilities.</t>
  </si>
  <si>
    <t>Inspected `javaparser-core-testing/src/test/resources/com/github/javaparser/utils/projectroot/issue2615/without_module_info/demo/Main.java`, `.../with_module_info/demo/Main.java`, `.../with_module_info_in_root/demo/Main.java`, and `.../with_module_info/demo/module-info.java`. The exact `demo` package contains only one small example class (`Main.java`, 46 lines, duplicated in three test-resource variants) plus a 2-line `module-info.java`</t>
  </si>
  <si>
    <t>Inspected `javaparser-symbol-solver-core/src/main/java/com/github/javaparser/symbolsolver/declarations/common/MethodDeclarationCommonLogic.java`</t>
  </si>
  <si>
    <t>Inspected `javaparser-core/src/main/java/com/github/javaparser/ast/type/Type.java`, `ClassOrInterfaceType.java`, `ReferenceType.java`, `ArrayType.java`, `IntersectionType.java`, `PrimitiveType.java`, `TypeParameter.java`, `UnionType.java`, `UnknownType.java`, `VarType.java`, `VoidType.java`, `WildcardType.java`, and `ConvertibleToUsage.java`. The package has 12 production types/interfaces and about 2,898 LOC total, but they form one cohesive Java type-AST hierarchy centered on `Type` and its subtypes, all modeling type syntax/resolution rather than mixing unrelated responsibilities</t>
  </si>
  <si>
    <t>Inspected core/src/main/java/com/google/zxing/multi/qrcode/detector/MultiDetector.java, core/src/main/java/com/google/zxing/multi/qrcode/detector/MultiFinderPatternFinder.java, and docs/apidocs/com/google/zxing/multi/qrcode/detector/package-summary.html/package-tree.html. The package contains only 2 classes (363 LOC total), and both are narrowly focused on multi-QR detection/finder-pattern scanning</t>
  </si>
  <si>
    <t>I inspected `src/main/java/org/apache/commons/io/function/package-info.java`, `IOStream.java`, `Uncheck.java`, `Erase.java`, `IOConsumer.java`, `IOFunction.java`, and `IOIterator.java`, plus the full package file list under `src/main/java/org/apache/commons/io/function/`. The package has 35 production files, but they are tightly focused on one concern: IO-aware functional interfaces, stream/iterator/spliterator wrappers, and exception-translation helpers. Only three files are relatively large (`IOStream.java` 602 LOC, `Uncheck.java` 391 LOC, `Erase.java` 191 LOC)</t>
  </si>
  <si>
    <t>Inspected the exact-package main classes under core/src/main/java/com/google/zxing/: 23 classes totaling 2,373 LOC (e.g. small value types/exceptions like NotFoundException 39 LOC, WriterException 38 LOC, Dimension 62 LOC, ResultPointCallback 29 LOC, and enums like BarcodeFormat/DecodeHintType/EncodeHintType/ResultMetadataType). The only substantial orchestrators are MultiFormatReader (199 LOC) and MultiFormatWriter (105 LOC), and both mainly delegate to specialized readers/writers in subpackages rather than centralizing unrelated behavior. The package is a cohesive root API/support layer, not an excessively large or responsibility-concentrating god component.</t>
  </si>
  <si>
    <t>Inspected `javaparser-symbol-solver-testing/src/test/resources/issue1945/issue1945/interfaces/HairType.java`, `HairTypeRenderer.java`, and `HairyAnimal.java`</t>
  </si>
  <si>
    <t>Inspected `test-shrinker/src/main/java/com/example/` and found 18 Java classes totaling 829 LOC, with most files being small fixtures (many under 20 lines). The larger files (`Main.java` at 316 lines, `ClassWithJsonAdapterAnnotation.java` at 137 lines, `GenericClasses.java` at 68 lines, `NoSerializedNameMain.java` at 59 lines) are focused test harness/fixture code for specific Gson behaviors, not a single oversized package-level responsibility. This looks like a purpose-built test package rather than a God Component.</t>
  </si>
  <si>
    <t>I inspected `ui/src/main/java/org/adoptopenjdk/jitwatch/ui/nmethod/compilerthread/CompilerThreadStage.java` and searched for exact package declarations</t>
  </si>
  <si>
    <t>Inspected javaparser-core/src/main/java/com/github/javaparser/printer/configuration/ConfigurationOption.java, DefaultConfigurationOption.java, DefaultPrinterConfiguration.java, ImportOrderingStrategy.java, Indentation.java, PrettyPrinterConfiguration.java, and PrinterConfiguration.java. The exact package contains only 7 types and about 947 total source lines, all narrowly focused on printer configuration/indentation/import-ordering APIs</t>
  </si>
  <si>
    <t>Inspected `javaparser-core-generators/src/main/java/com/github/javaparser/generator/core/utils/CodeUtils.java` and `javaparser-core-generators/src/test/java/com/github/javaparser/generator/core/utils/CodeUtilsTest.java`. The package contains only one production class (55 LOC) and one focused test class (53 LOC)</t>
  </si>
  <si>
    <t>Inspected javaparser-symbol-solver-testing/src/test/resources/record_declarations/Box.java, GenericBox.java, BoxWithAllConstructors.java, and BoxWithNonCanonicalConstructor.java. The exact package box contains only 4 tiny test fixture types (plus one package-private interface Foo inside Box.java), totaling 34 lines across all sources</t>
  </si>
  <si>
    <t>`src/main/java/org/apache/commons/lang3/mutable/package-info.java` defines the package as typed mutable wrappers for primitive values and Object, and the production package contains only 9 small types/interfaces (`Mutable.java`, `MutableBoolean.java`, `MutableByte.java`, `MutableShort.java`, `MutableInt.java`, `MutableLong.java`, `MutableFloat.java`, `MutableDouble.java`, `MutableObject.java`) totaling 2,788 LOC. The inspected classes (`Mutable.java`, `MutableBoolean.java`, `MutableInt.java`, `MutableObject.java`) are narrow wrapper implementations around a single value</t>
  </si>
  <si>
    <t>I inspected `javaparser-symbol-solver-core/src/main/java/com/github/javaparser/symbolsolver/resolution/SymbolSolver.java` and found that the exact package `com.github.javaparser.symbolsolver.resolution` contains only this one production class</t>
  </si>
  <si>
    <t>Inspected all exact `package another</t>
  </si>
  <si>
    <t>Inspected `javaparser-symbol-solver-testing/src/test/resources/issue1945/issue1945/main/MainIssue1945.java` and found that `issue1945.main` contains only one Java file (1 class, 48 lines). The class is a small driver with a `Sheep` field and a few demo methods</t>
  </si>
  <si>
    <t>Inspected core/src/main/java/org/adoptopenjdk/jitwatch/process/javap/JavapProcess.java (95 lines) and core/src/main/java/org/adoptopenjdk/jitwatch/process/javap/ReflectionJavap.java (176 lines). The package contains only these 2 classes, and both are narrowly focused on obtaining bytecode via javap, either by spawning the javap process or by reflecting on com.sun.tools.javap.JavapTask. There is no evidence of a large, multi-responsibility package or many classes concentrated here.</t>
  </si>
  <si>
    <t>Inspected `core/src/main/java/org/adoptopenjdk/jitwatch/jarscan/sequencecount/SequenceCountOperation.java` and `core/src/main/java/org/adoptopenjdk/jitwatch/jarscan/sequencecount/InstructionSequence.java`. The exact package contains only 2 classes totaling 279 LOC</t>
  </si>
  <si>
    <t>Inspected src/main/java/org/jsoup/examples/Wikipedia.java, HtmlToPlainText.java, ListLinks.java, and package-info.java. The package contains only 3 small, standalone example classes (249 total LOC including package-info), all centered on demo HTML fetching/formatting. package-info.java explicitly marks them as examples with no API contract, and pom.xml excludes org/jsoup/examples/** from the main jar while building a separate jsoup-examples classifier, indicating a small, isolated example bundle rather than a God Component.</t>
  </si>
  <si>
    <t>Inspected `core/src/main/java/com/google/googlejavaformat/Doc.java` (772 LOC), `OpsBuilder.java` (658 LOC), `Input.java`, `InputOutput.java`, `Output.java`, `DocBuilder.java`, `Newlines.java`, `Indent.java`, `CommentsHelper.java`, `Op.java`, `OpenOp.java`, `CloseOp.java`, `FormatterDiagnostic.java`, and `FormattingError.java`. The package has 14 production classes totaling 2466 LOC, but they are split into a cohesive formatter pipeline (input, ops, doc tree, break decisions, and output) with no evidence of unrelated responsibilities or a single overcentralized component, so the package is not a God Component.</t>
  </si>
  <si>
    <t>Inspected core/src/main/java/org/adoptopenjdk/jitwatch/jvmlang/LanguageManager.java</t>
  </si>
  <si>
    <t>I inspected `core/src/main/java/org/adoptopenjdk/jitwatch/hotthrow/HotThrowFinder.java` (237 lines) and `core/src/main/java/org/adoptopenjdk/jitwatch/hotthrow/HotThrowResult.java` (89 lines). The package contains only these two classes: one focused parser/search helper and one value object, with a single visible consumer in `core/src/main/java/org/adoptopenjdk/jitwatch/toplist/HotThrowTopListVisitable.java`. That is a small, narrowly scoped feature package rather than an excessively large or responsibility-heavy God Component.</t>
  </si>
  <si>
    <t>I inspected gson/src/main/java/com/google/gson/internal/reflect/ReflectionHelper.java and gson/src/test/java/com/google/gson/internal/reflect/Java17ReflectionHelperTest.java</t>
  </si>
  <si>
    <t>Inspected 21 source files under javaparser-core/src/main/java/com/github/javaparser/resolution/declarations (2,170 total lines), including ResolvedDeclaration.java, ResolvedTypeDeclaration.java, ResolvedReferenceTypeDeclaration.java, ResolvedMethodLikeDeclaration.java, ResolvedTypeParameterDeclaration.java, and ResolvedFieldDeclaration.java. The package is broad but cohesive: it is an API layer of small interfaces/default-method contracts for declaration kinds and metadata, with no implementation-heavy classes or evidence of unrelated responsibilities being centralized in one oversized component.</t>
  </si>
  <si>
    <t>Inspected the exact-package files `Validators.java`, `Validator.java`, `ProblemReporter.java`, `SimpleValidator.java`, `TypedValidator.java`, `SingleNodeTypeValidator.java`, `TreeVisitorValidator.java`, `VisitorValidator.java`, `ReservedKeywordValidator.java`, and `RecordAsTypeIdentifierNotAllowed.java`. The package contains only 10 classes and 505 total LOC, with the largest files at 65 LOC</t>
  </si>
  <si>
    <t>Inspected android/src/com/google/zxing/client/android/wifi/NetworkType.java and android/src/com/google/zxing/client/android/wifi/WifiConfigManager.java. The package contains only 2 classes / 339 total lines: a 45-line enum for mapping network types and a 294-line AsyncTask focused narrowly on enabling Wi-Fi and building/applying WifiConfiguration objects for WEP/WPA/WPA2-EAP/open networks. The responsibility is cohesive and small, with no evidence of a large, multi-responsibility package or broad centralization.</t>
  </si>
  <si>
    <t>Inspected the only 6 classes with package declaration exactly `com.google.zxing.oned.rss`: `AbstractRSSReader.java` (142 LOC), `DataCharacter.java` (59), `FinderPattern.java` (65), `Pair.java` (41), `RSS14Reader.java` (471), and `RSSUtils.java` (87), for 865 LOC total. The package is cohesive around one narrow domain (RSS barcode decoding): one main reader, one abstract base, three small value objects, and one utility class. That structure does not show an excessively large or responsibility-heavy package indicative of a God Component.</t>
  </si>
  <si>
    <t>Inspected the 20 files with exact `package main</t>
  </si>
  <si>
    <t>`rg -n "^package org.adoptopenjdk.jitwatch.inline</t>
  </si>
  <si>
    <t>Inspected `javaparser-core/src/main/java/com/github/javaparser/resolution/promotion/ConditionalExprHandler.java` (27 lines). It is the only source file with package declaration `com.github.javaparser.resolution.promotion`, and it defines just one interface with a single method, `resolveType()`. The package is therefore very small and narrowly focused, with no evidence of excessive size or responsibility concentration.</t>
  </si>
  <si>
    <t>Inspected `core/src/main/java/com/google/zxing/aztec/decoder/Decoder.java`, `core/src/test/java/com/google/zxing/aztec/decoder/DecoderTest.java`, and `docs/apidocs/com/google/zxing/aztec/decoder/package-summary.html`/`package-tree.html`. The package has only one production class (`Decoder`), which is a single 448-line implementation with a few helper methods and one inner result type</t>
  </si>
  <si>
    <t>Inspected src/main/java/org/apache/commons/lang3/tuple/package-info.java, Pair.java, Triple.java, ImmutablePair.java, MutablePair.java, ImmutableTriple.java, and MutableTriple.java. The package contains only 6 classes (1,213 LOC total), and all of them are tightly focused tuple types: one abstract Pair base, one abstract Triple base, and four concrete immutable/mutable variants. The package-info explicitly says it provides tuple classes, and I saw no unrelated responsibilities or broad class mix that would indicate an excessively large or central God Component.</t>
  </si>
  <si>
    <t>Inspected src/main/java/org/apache/commons/io/monitor/{FileAlterationMonitor.java,FileAlterationObserver.java,FileEntry.java,SerializableFileTime.java,FileAlterationListener.java,FileAlterationListenerAdaptor.java,package-info.java}. The package has only 5 production types plus package-info, totaling 1,453 LOC</t>
  </si>
  <si>
    <t>Inspected [ParserChooser.java](/data/henrique/detecting_smells_study/codex/data/repositories/adoptopenjdk/jitwatch/ui/src/main/java/org/adoptopenjdk/jitwatch/ui/parserchooser/ParserChooser.java) and [IParserSelectedListener.java](/data/henrique/detecting_smells_study/codex/data/repositories/adoptopenjdk/jitwatch/ui/src/main/java/org/adoptopenjdk/jitwatch/ui/parserchooser/IParserSelectedListener.java). The package contains only 2 source files / 59 total LOC, and both are narrowly focused on parser selection UI: one ComboBox wrapper that lists ParserType values and notifies a listener, plus a one-method listener interface. This is not evidence of an excessively large or responsibility-heavy package.</t>
  </si>
  <si>
    <t>Inspected `javaparser-symbol-solver-testing/src/test/resources/TypeResolutionWithSameNameTest/01_package_precedes_nested_interface/implements_duplicate/A.java` and `DuplicateTypeName.java`</t>
  </si>
  <si>
    <t>Inspected src/main/java/org/jsoup/safety/Cleaner.java (220 LOC), src/main/java/org/jsoup/safety/Safelist.java (667 LOC), and src/main/java/org/jsoup/safety/package-info.java. The package has only 2 production classes (893 LOC total) and both are tightly cohesive around one concern: HTML cleaning/safelisting. The package-info explicitly describes it as containing the HTML cleaner and safelist definitions, so there is no concrete evidence of a large, multi-responsibility package or a God Component.</t>
  </si>
  <si>
    <t>Inspected core/src/main/java/com/google/googlejavaformat/java/javadoc/{JavadocFormatter.java,JavadocLexer.java,JavadocWriter.java,CharStream.java,NestingCounter.java,Token.java}, plus core/src/main/java/com/google/googlejavaformat/java/JavaCommentsHelper.java and core/src/test/java/com/google/googlejavaformat/java/JavadocFormattingTest.java. The package has 6 classes and 1,420 total LOC, but they form one narrow Javadoc-formatting pipeline (lexer -&gt; token model -&gt; writer -&gt; formatter) with one public entry point</t>
  </si>
  <si>
    <t>Inspected `javaparser-core/src/main/java/com/github/javaparser/ast/stmt/*.java` (25 classes, 5,262 LOC total), plus `Statement.java`, `BlockStmt.java`, `SwitchStmt.java`, `TryStmt.java`, `ForStmt.java`, `IfStmt.java`, `SwitchEntry.java`, `LocalRecordDeclarationStmt.java`, and `UnparsableStmt.java`. The package is sizeable, but it is coherently partitioned into one class per statement kind</t>
  </si>
  <si>
    <t>Inspected byte-buddy-gradle-plugin/src/main/java-gradle-api/org/gradle/work/Incremental.java, InputChanges.java, FileChange.java, ChangeType.java, and package-info.java. The package contains only 4 top-level types plus package-info, totaling 156 lines, and all are tiny placeholder Gradle API substitutions (1 annotation, 2 interfaces, 1 enum with a single value) with no implementation logic or broad internal responsibility, so it is not a God Component.</t>
  </si>
  <si>
    <t>Inspected byte-buddy-dep/src/main/java/net/bytebuddy/implementation/bytecode/assign/primitive/{package-info.java,PrimitiveTypeAwareAssigner.java,VoidAwareAssigner.java,PrimitiveBoxingDelegate.java,PrimitiveUnboxingDelegate.java,PrimitiveWideningDelegate.java,PrimitiveNarrowingDelegate.java}. The package has only 6 production classes plus package-info (about 1.3k LOC total), and all of them are tightly focused on one cohesive responsibility: primitive/void assignment support via boxing, unboxing, widening, narrowing, and void handling. That is a compact helper package, not an excessively large or multi-responsibility god component.</t>
  </si>
  <si>
    <t>I inspected the exact `package foo</t>
  </si>
  <si>
    <t>I inspected `javaparser-symbol-solver-core/src/main/java/com/github/javaparser/symbolsolver/JavaSymbolSolver.java` (472 LOC) and `javaparser-symbol-solver-core/src/main/java/com/github/javaparser/symbolsolver/SourceFileInfoExtractor.java` (228 LOC). The exact package contains only these 2 top-level classes, and both are thin entry points: `JavaSymbolSolver` mainly dispatches to `javaparsermodel` classes for resolution, while `SourceFileInfoExtractor` is a file-walking/reporting utility. This is not evidence of an excessively large, responsibility-concentrating package.</t>
  </si>
  <si>
    <t>Inspected `core/src/main/java/org/adoptopenjdk/jitwatch/core/JITWatchConfig.java` (970 LOC), `JITWatchConstants.java` (359), `TagProcessor.java` (304), `ErrorLog.java` (60), and `IJITListener.java` (15). The package contains only 5 classes / 1,708 LOC total, and its responsibilities are split into a few focused support types (config persistence, tag parsing, constants, error aggregation, listener interface) rather than a large multi-class component, so the God Component smell is not evident here.</t>
  </si>
  <si>
    <t>Inspected src/main/java/org/apache/commons/io/charset/CharsetDecoders.java, CharsetEncoders.java, and package-info.java. The package contains only 2 production classes plus package-info, totaling 131 LOC</t>
  </si>
  <si>
    <t>Inspected `javaparser-symbol-solver-testing/src/test/resources/issue241/TypeWithMemberType.java`</t>
  </si>
  <si>
    <t>Inspected the production package files under javaparser-symbol-solver-core/src/main/java/com/github/javaparser/symbolsolver/resolution/typesolvers/: AarTypeSolver.java (83 LOC), MemoryTypeSolver.java (98), ReflectionTypeSolver.java (113), ClassLoaderTypeSolver.java (155), CombinedTypeSolver.java (316), TypeSolverBuilder.java (325), JavaParserTypeSolver.java (356), and JarTypeSolver.java (382), for 1,828 LOC total. The package is cohesive and narrowly centered on type solving from specific sources (reflection/classloader, source trees, jars, AARs, in-memory declarations, and solver composition/building), so I did not find evidence of an excessively large or responsibility-overloaded God Component.</t>
  </si>
  <si>
    <t>Inspected `byte-buddy-dep/src/main/java/net/bytebuddy/dynamic/scaffold/inline/package-info.java` and the 8 production classes in the package (`AbstractInliningDynamicTypeBuilder.java`, `DecoratingDynamicTypeBuilder.java`, `RedefinitionDynamicTypeBuilder.java`, `RebaseDynamicTypeBuilder.java`, `RebaseImplementationTarget.java`, `MethodRebaseResolver.java`, `MethodNameTransformer.java`, `InliningImplementationMatcher.java`). The package is about 2272 LOC total and is tightly cohesive around inline type enhancement/redefinition/rebasing, with 4 builder classes plus small support types</t>
  </si>
  <si>
    <t>Inspected `gson/src/main/java/com/google/gson/internal/sql/SqlTypesSupport.java`, `SqlDateTypeAdapter.java`, `SqlTimeTypeAdapter.java`, and `SqlTimestampTypeAdapter.java`. The package has only 4 production classes totaling 325 lines</t>
  </si>
  <si>
    <t>Inspected `gson/src/main/java/com/google/gson/reflect/TypeToken.java` (452 LOC) and `gson/src/main/java/com/google/gson/reflect/package-info.java`</t>
  </si>
  <si>
    <t>Inspected core/src/main/java/org/adoptopenjdk/jitwatch/parser/zing/ZingLogParser.java, ZingLine.java, and ZingLineType.java. The package contains only 3 classes totaling 693 LOC, with a narrow scope: one parser that reads Zing compilation log lines and emits tags, one data holder, and one 2-value enum. That is a small, focused package rather than an excessively large or responsibility-heavy God Component.</t>
  </si>
  <si>
    <t>Inspected core/src/main/java/com/google/zxing/oned/{OneDReader.java,UPCEANReader.java,OneDimensionalCodeWriter.java,UPCEANWriter.java,MultiFormatOneDReader.java,MultiFormatUPCEANReader.java} and the direct package contents. The package is sizable (28 production classes, 5,507 LOC), but responsibilities are split across barcode-specific readers/writers (Code39, Code93, Code128, ITF, CodaBar, EAN/UPC) plus thin shared base classes and dispatchers</t>
  </si>
  <si>
    <t>Inspected gson/src/main/java/com/google/gson/stream/package-info.java, JsonReader.java, JsonWriter.java, JsonToken.java, JsonScope.java, and MalformedJsonException.java. The package contains only 5 production types with 2,903 total LOC, and the package-info explicitly limits the scope to "classes for processing JSON in an efficient streaming way". The responsibility is cohesive and centered on JSON streaming APIs, with two core implementations (JsonReader, JsonWriter) plus small support types, so there is no evidence of an excessively large or overly broad God Component.</t>
  </si>
  <si>
    <t>Inspected core/src/main/java/org/adoptopenjdk/jitwatch/treevisitor/TreeVisitor.java and ITreeVisitable.java. The exact package contains only 2 source files and 64 total lines</t>
  </si>
  <si>
    <t>Inspected core/src/main/java/org/adoptopenjdk/jitwatch/compilation/ICompilationVisitable.java, AbstractCompilationVisitable.java, AbstractCompilationWalker.java, and CompilationUtil.java. The exact package contains only 4 classes (about 492 LOC total): three are very small interface/abstract base types (14-32 LOC each), and the only substantial class, CompilationUtil.java (423 LOC), is a focused helper for compilation/tag parsing, tag walking, and member-ID matching rather than a broad collection of unrelated responsibilities. The codecache subpackage is separate and was excluded.</t>
  </si>
  <si>
    <t>Inspected core/src/main/java/org/adoptopenjdk/jitwatch/report/locks/OptimisedLocksWalker.java and confirmed via rg that it is the only source file whose package declaration exactly matches org.adoptopenjdk.jitwatch.report.locks. The class is only 24 lines and contains one constructor plus one filter override, delegating all real behavior to AbstractEscapeAnalysisWalker</t>
  </si>
  <si>
    <t>I inspected ui/src/main/java/org/adoptopenjdk/jitwatch/ui/browser/BrowserStage.java and confirmed it is the only file in this exact package (`rg --files` found no other `org.adoptopenjdk.jitwatch.ui.browser` classes). The package contains one small class (48 lines) that only wraps a JavaFX `Stage` with a WebView and a `setContent` method, so there is no evidence of an excessively large or multi-responsibility package.</t>
  </si>
  <si>
    <t>Inspected `javaparser-symbol-solver-core/src/main/java/com/github/javaparser/symbolsolver/cache/DefaultCacheStats.java`, `GuavaCache.java`, `NoCache.java`, and `InMemoryCache.java`. The package contains exactly 4 production classes totaling 617 LOC, and each class has a narrow role: one immutable stats wrapper, one Guava adapter, one no-op cache, and one in-memory cache. That is focused cache infrastructure, not a large package with many responsibilities or obvious over-centralization.</t>
  </si>
  <si>
    <t>Inspected javaparser-core/src/main/java/com/github/javaparser/quality/Nullable.java, NotNull.java, and Preconditions.java, plus javaparser-core-testing/src/test/java/com/github/javaparser/quality/PreconditionsTest.java. The package has only 3 production classes (136 LOC total): two tiny parameter annotations and one small Preconditions utility with 4 methods</t>
  </si>
  <si>
    <t>Inspected `javaparser-symbol-solver-core/src/main/java/com/github/javaparser/symbolsolver/reflectionmodel/comparators/ClassComparator.java`, `MethodComparator.java`, and `ParameterComparator.java` (132 LOC total). The package contains only 3 small, single-purpose comparator classes, and `MethodComparator` is only used locally from `ReflectionClassDeclaration.java` and `ReflectionRecordDeclaration.java`</t>
  </si>
  <si>
    <t>Inspected javaparser-symbol-solver-core/src/main/java/com/github/javaparser/symbolsolver/resolution/naming/NameLogic.java (1109 lines), NameRole.java, and NameCategory.java. The package contains only 3 small production classes totaling 1206 lines, and all of them serve one cohesive concern: syntactic/semantic name classification for JLS 6.5. The large class is a focused utility, not a broad multi-responsibility package, so the package is not excessively large or overloaded enough to qualify as a God Component.</t>
  </si>
  <si>
    <t>Inspected android/src/com/google/zxing/client/android/result/supplement/SupplementalInfoRetriever.java, TitleRetriever.java, ProductResultInfoRetriever.java, BookResultInfoRetriever.java, URIResultInfoRetriever.java, plus the call site in android/src/com/google/zxing/client/android/CaptureActivity.java. The package contains only 5 classes and 507 total LOC, organized as one abstract dispatcher/helper and four narrowly scoped retrievers for URI title, redirects, product info, and book info. The code is cohesive and used from a single capture-flow call site, so there is no evidence of an excessively large, responsibility-centralizing package.</t>
  </si>
  <si>
    <t>Inspected `core/src/main/java/org/adoptopenjdk/jitwatch/model/assembly/x86/AssemblyParserX86.java` (294 LOC), `X86Directive.java` (48 LOC), and `X86RegisterType.java` (73 LOC). The package contains only 3 classes totaling 415 LOC: one parser and two small enums for directives/register classification. That is a narrow, focused responsibility set, with no evidence of an excessively large or multi-responsibility package.</t>
  </si>
  <si>
    <t>Inspected src/main/java/org/apache/commons/lang3/compare/ComparableUtils.java, ObjectToStringComparator.java, and package-info.java. The package contains only 2 production classes plus package-info, totaling 325 lines of code across the classes (348 lines including package-info), and both classes are narrowly scoped helpers: ComparableUtils provides comparison predicates/min/max utilities, while ObjectToStringComparator is a single stateless Comparator. This is a small, cohesive package, not an excessively large or responsibility-concentrating God Component.</t>
  </si>
  <si>
    <t>Inspected the 12 exact-package classes under `javase/src/main/java/com/google/zxing/client/j2se/` (`CommandLineRunner.java`, `CommandLineEncoder.java`, `GUIRunner.java`, `DecodeWorker.java`, `DecoderConfig.java`, `EncoderConfig.java`, `ImageReader.java`, `MatrixToImageWriter.java`, `MatrixToImageConfig.java`, `BufferedImageLuminanceSource.java`, `HtmlAssetTranslator.java`, `StringsResourceTranslator.java`). The package totals 1,774 LOC, and the largest class is only 273 lines (`DecodeWorker.java`)</t>
  </si>
  <si>
    <t>Inspected javaparser-core/src/main/java/com/github/javaparser/javadoc/description/JavadocDescription.java, JavadocInlineTag.java, JavadocSnippet.java, and JavadocDescriptionElement.java. The package contains only 4 classes totaling 333 LOC, and they all implement one narrow concern: representing/parsing Javadoc description text and inline tags. That is cohesive and small, with no evidence of an excessively large or responsibility-heavy package.</t>
  </si>
  <si>
    <t>Inspected core/src/main/java/com/google/zxing/oned/rss/expanded/RSSExpandedReader.java (835 LOC), BitArrayBuilder.java (85 LOC), ExpandedPair.java (90 LOC), and ExpandedRow.java (69 LOC). The package contains only 4 classes / 1,079 total lines, with 3 small helper/value types and one reader class focused on RSS Expanded decoding</t>
  </si>
  <si>
    <t>Inspected core/src/main/java/com/google/zxing/pdf417/PDF417Common.java, PDF417Reader.java, PDF417Writer.java, and PDF417ResultMetadata.java. The exact package contains only 4 production classes totaling 950 LOC (463 + 141 + 175 + 171). Their roles are narrow and separated: PDF417Writer is an encode faÃ§ade that delegates to com.google.zxing.pdf417.encoder.*, PDF417Reader is a decode faÃ§ade that delegates to com.google.zxing.pdf417.decoder.* and com.google.zxing.pdf417.detector.*, PDF417ResultMetadata is a simple data holder, and PDF417Common is a constants/utility class. This looks like a small faÃ§ade package around specialized subpackages, not an excessively large or responsibility-concentrating god component.</t>
  </si>
  <si>
    <t>Inspected byte-buddy-dep/src/main/java/net/bytebuddy/description/modifier/package-info.java, ModifierContributor.java, Visibility.java, and the other 15 production classes in the package. The package is a cohesive, flat modifier model: 17 main files totaling 1,832 LOC, mostly small 78-140 line enums for specific modifier kinds (visibility, field/method/type manifestation, openness, transitivity, etc.), plus one 291-line interface/resolver. The package-info explicitly describes it as a package for high-level, type-safe Java modifiers, and there is no evidence of unrelated responsibilities or excessive breadth that would indicate a God Component.</t>
  </si>
  <si>
    <t>Inspected `javaparser-core/src/main/java/com/github/javaparser/resolution/types/*.java`: there are 11 exact-package classes/interfaces with 1992 total LOC, and the package is a cohesive `ResolvedType` hierarchy (`ResolvedType`, `ResolvedReferenceType`, `ResolvedPrimitiveType`, `ResolvedArrayType`, `ResolvedTypeVariable`, `ResolvedWildcard`, `ResolvedUnionType`, `ResolvedIntersectionType`, `ResolvedVoidType`, `ResolvedLambdaConstraintType`, `ResolvedTypeTransformer`) focused on type representation and assignability. The largest file is `ResolvedReferenceType.java` at 652 LOC, but the responsibilities remain tightly centered on one concept rather than a broadly decomposable package-level God Component.</t>
  </si>
  <si>
    <t>TP</t>
  </si>
  <si>
    <t>TN</t>
  </si>
  <si>
    <t>FP</t>
  </si>
  <si>
    <t>FN</t>
  </si>
  <si>
    <t>Pr</t>
  </si>
  <si>
    <t>Rc</t>
  </si>
  <si>
    <t>F1</t>
  </si>
  <si>
    <t>MCC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</si>
</sst>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89906-325E-45A3-964D-C321123BF65D}">
  <dimension ref="A1:J101"/>
  <sheetViews>
    <sheetView tabSelected="1" topLeftCell="D1" workbookViewId="0">
      <selection activeCell="H10" sqref="H10"/>
    </sheetView>
  </sheetViews>
  <sheetFormatPr defaultRowHeight="15" x14ac:dyDescent="0.25"/>
  <cols>
    <col min="1" max="1" width="18.140625" bestFit="1" customWidth="1"/>
    <col min="2" max="2" width="15.28515625" bestFit="1" customWidth="1"/>
    <col min="3" max="3" width="61.42578125" bestFit="1" customWidth="1"/>
    <col min="4" max="4" width="115" bestFit="1" customWidth="1"/>
    <col min="5" max="5" width="16.85546875" style="3" bestFit="1" customWidth="1"/>
    <col min="6" max="6" width="14" style="3" bestFit="1" customWidth="1"/>
    <col min="7" max="7" width="9.140625" style="3"/>
    <col min="8" max="8" width="12.140625" bestFit="1" customWidth="1"/>
  </cols>
  <sheetData>
    <row r="1" spans="1:10" x14ac:dyDescent="0.25">
      <c r="A1" s="1" t="s">
        <v>102</v>
      </c>
      <c r="B1" s="1" t="s">
        <v>0</v>
      </c>
      <c r="C1" s="1" t="s">
        <v>1</v>
      </c>
      <c r="D1" s="1" t="s">
        <v>103</v>
      </c>
      <c r="E1" s="2" t="s">
        <v>104</v>
      </c>
      <c r="F1" s="2" t="s">
        <v>215</v>
      </c>
      <c r="G1" s="2" t="s">
        <v>234</v>
      </c>
      <c r="H1" s="2"/>
    </row>
    <row r="2" spans="1:10" x14ac:dyDescent="0.25">
      <c r="A2" t="s">
        <v>105</v>
      </c>
      <c r="B2" t="s">
        <v>2</v>
      </c>
      <c r="C2" t="s">
        <v>101</v>
      </c>
      <c r="D2" t="s">
        <v>106</v>
      </c>
      <c r="E2" s="3">
        <v>1564</v>
      </c>
      <c r="F2" s="3">
        <v>0</v>
      </c>
      <c r="G2" s="3">
        <f>VLOOKUP(C2,Codex!$A$1:$B$100,2,0)</f>
        <v>0</v>
      </c>
      <c r="I2" t="s">
        <v>317</v>
      </c>
      <c r="J2">
        <f>COUNTIFS(F2:F101,1,G2:G101,1)</f>
        <v>15</v>
      </c>
    </row>
    <row r="3" spans="1:10" x14ac:dyDescent="0.25">
      <c r="A3" t="s">
        <v>107</v>
      </c>
      <c r="B3" t="s">
        <v>2</v>
      </c>
      <c r="C3" t="s">
        <v>78</v>
      </c>
      <c r="D3" t="s">
        <v>108</v>
      </c>
      <c r="E3" s="3">
        <v>853</v>
      </c>
      <c r="F3" s="3">
        <v>0</v>
      </c>
      <c r="G3" s="3">
        <f>VLOOKUP(C3,Codex!$A$1:$B$100,2,0)</f>
        <v>0</v>
      </c>
      <c r="I3" t="s">
        <v>318</v>
      </c>
      <c r="J3">
        <f>COUNTIFS(F2:F101,0,G2:G101,0)</f>
        <v>67</v>
      </c>
    </row>
    <row r="4" spans="1:10" x14ac:dyDescent="0.25">
      <c r="A4" t="s">
        <v>105</v>
      </c>
      <c r="B4" t="s">
        <v>2</v>
      </c>
      <c r="C4" t="s">
        <v>82</v>
      </c>
      <c r="D4" t="s">
        <v>109</v>
      </c>
      <c r="E4" s="3">
        <v>698</v>
      </c>
      <c r="F4" s="3">
        <v>0</v>
      </c>
      <c r="G4" s="3">
        <f>VLOOKUP(C4,Codex!$A$1:$B$100,2,0)</f>
        <v>0</v>
      </c>
      <c r="I4" t="s">
        <v>319</v>
      </c>
      <c r="J4">
        <f>COUNTIFS(F2:F101,0,G2:G101,1)</f>
        <v>3</v>
      </c>
    </row>
    <row r="5" spans="1:10" x14ac:dyDescent="0.25">
      <c r="A5" t="s">
        <v>110</v>
      </c>
      <c r="B5" t="s">
        <v>2</v>
      </c>
      <c r="C5" t="s">
        <v>14</v>
      </c>
      <c r="D5" t="s">
        <v>111</v>
      </c>
      <c r="E5" s="3">
        <v>3641</v>
      </c>
      <c r="F5" s="3">
        <v>0</v>
      </c>
      <c r="G5" s="3">
        <f>VLOOKUP(C5,Codex!$A$1:$B$100,2,0)</f>
        <v>0</v>
      </c>
      <c r="I5" t="s">
        <v>320</v>
      </c>
      <c r="J5">
        <f>COUNTIFS(F2:F101,1,G2:G101,0)</f>
        <v>15</v>
      </c>
    </row>
    <row r="6" spans="1:10" x14ac:dyDescent="0.25">
      <c r="A6" t="s">
        <v>112</v>
      </c>
      <c r="B6" t="s">
        <v>2</v>
      </c>
      <c r="C6" t="s">
        <v>96</v>
      </c>
      <c r="D6" t="s">
        <v>113</v>
      </c>
      <c r="E6" s="3">
        <v>521</v>
      </c>
      <c r="F6" s="3">
        <v>0</v>
      </c>
      <c r="G6" s="3">
        <f>VLOOKUP(C6,Codex!$A$1:$B$100,2,0)</f>
        <v>0</v>
      </c>
    </row>
    <row r="7" spans="1:10" x14ac:dyDescent="0.25">
      <c r="A7" t="s">
        <v>110</v>
      </c>
      <c r="B7" t="s">
        <v>2</v>
      </c>
      <c r="C7" t="s">
        <v>53</v>
      </c>
      <c r="D7" t="s">
        <v>114</v>
      </c>
      <c r="E7" s="3">
        <v>1992</v>
      </c>
      <c r="F7" s="3">
        <v>1</v>
      </c>
      <c r="G7" s="3">
        <f>VLOOKUP(C7,Codex!$A$1:$B$100,2,0)</f>
        <v>0</v>
      </c>
      <c r="I7" t="s">
        <v>321</v>
      </c>
      <c r="J7">
        <f>IFERROR(J2/(J2+J4),0)</f>
        <v>0.83333333333333337</v>
      </c>
    </row>
    <row r="8" spans="1:10" x14ac:dyDescent="0.25">
      <c r="A8" t="s">
        <v>112</v>
      </c>
      <c r="B8" t="s">
        <v>2</v>
      </c>
      <c r="C8" t="s">
        <v>38</v>
      </c>
      <c r="D8" t="s">
        <v>115</v>
      </c>
      <c r="E8" s="3">
        <v>1370</v>
      </c>
      <c r="F8" s="3">
        <v>0</v>
      </c>
      <c r="G8" s="3">
        <f>VLOOKUP(C8,Codex!$A$1:$B$100,2,0)</f>
        <v>0</v>
      </c>
      <c r="I8" t="s">
        <v>322</v>
      </c>
      <c r="J8">
        <f>IFERROR(J2/(J2+J5),0)</f>
        <v>0.5</v>
      </c>
    </row>
    <row r="9" spans="1:10" x14ac:dyDescent="0.25">
      <c r="A9" t="s">
        <v>110</v>
      </c>
      <c r="B9" t="s">
        <v>2</v>
      </c>
      <c r="C9" t="s">
        <v>11</v>
      </c>
      <c r="D9" t="s">
        <v>116</v>
      </c>
      <c r="E9" s="3">
        <v>3405</v>
      </c>
      <c r="F9" s="3">
        <v>0</v>
      </c>
      <c r="G9" s="3">
        <f>VLOOKUP(C9,Codex!$A$1:$B$100,2,0)</f>
        <v>0</v>
      </c>
      <c r="I9" t="s">
        <v>323</v>
      </c>
      <c r="J9">
        <f>IFERROR(2*J7*J8/(J7+J8),0)</f>
        <v>0.625</v>
      </c>
    </row>
    <row r="10" spans="1:10" x14ac:dyDescent="0.25">
      <c r="A10" t="s">
        <v>112</v>
      </c>
      <c r="B10" t="s">
        <v>2</v>
      </c>
      <c r="C10" t="s">
        <v>47</v>
      </c>
      <c r="D10" t="s">
        <v>117</v>
      </c>
      <c r="E10" s="3">
        <v>745</v>
      </c>
      <c r="F10" s="3">
        <v>0</v>
      </c>
      <c r="G10" s="3">
        <f>VLOOKUP(C10,Codex!$A$1:$B$100,2,0)</f>
        <v>0</v>
      </c>
      <c r="I10" t="s">
        <v>324</v>
      </c>
      <c r="J10">
        <f>IFERROR(((J2*J3)-(J4*J5))/SQRT((J2+J4)*(J2+J5)*(J3+J4)*(J3+J5)),0)</f>
        <v>0.54527854127279762</v>
      </c>
    </row>
    <row r="11" spans="1:10" x14ac:dyDescent="0.25">
      <c r="A11" t="s">
        <v>118</v>
      </c>
      <c r="B11" t="s">
        <v>2</v>
      </c>
      <c r="C11" t="s">
        <v>77</v>
      </c>
      <c r="D11" t="s">
        <v>119</v>
      </c>
      <c r="E11" s="3">
        <v>1004</v>
      </c>
      <c r="F11" s="3">
        <v>0</v>
      </c>
      <c r="G11" s="3">
        <f>VLOOKUP(C11,Codex!$A$1:$B$100,2,0)</f>
        <v>0</v>
      </c>
    </row>
    <row r="12" spans="1:10" x14ac:dyDescent="0.25">
      <c r="A12" t="s">
        <v>110</v>
      </c>
      <c r="B12" t="s">
        <v>2</v>
      </c>
      <c r="C12" t="s">
        <v>54</v>
      </c>
      <c r="D12" t="s">
        <v>120</v>
      </c>
      <c r="E12" s="3">
        <v>428</v>
      </c>
      <c r="F12" s="3">
        <v>0</v>
      </c>
      <c r="G12" s="3">
        <f>VLOOKUP(C12,Codex!$A$1:$B$100,2,0)</f>
        <v>0</v>
      </c>
    </row>
    <row r="13" spans="1:10" x14ac:dyDescent="0.25">
      <c r="A13" t="s">
        <v>121</v>
      </c>
      <c r="B13" t="s">
        <v>2</v>
      </c>
      <c r="C13" t="s">
        <v>60</v>
      </c>
      <c r="D13" t="s">
        <v>122</v>
      </c>
      <c r="E13" s="3">
        <v>1377</v>
      </c>
      <c r="F13" s="3">
        <v>0</v>
      </c>
      <c r="G13" s="3">
        <f>VLOOKUP(C13,Codex!$A$1:$B$100,2,0)</f>
        <v>0</v>
      </c>
    </row>
    <row r="14" spans="1:10" x14ac:dyDescent="0.25">
      <c r="A14" t="s">
        <v>118</v>
      </c>
      <c r="B14" t="s">
        <v>2</v>
      </c>
      <c r="C14" t="s">
        <v>71</v>
      </c>
      <c r="D14" t="s">
        <v>123</v>
      </c>
      <c r="E14" s="3">
        <v>1382</v>
      </c>
      <c r="F14" s="3">
        <v>0</v>
      </c>
      <c r="G14" s="3">
        <f>VLOOKUP(C14,Codex!$A$1:$B$100,2,0)</f>
        <v>0</v>
      </c>
    </row>
    <row r="15" spans="1:10" x14ac:dyDescent="0.25">
      <c r="A15" t="s">
        <v>110</v>
      </c>
      <c r="B15" t="s">
        <v>2</v>
      </c>
      <c r="C15" t="s">
        <v>49</v>
      </c>
      <c r="D15" t="s">
        <v>124</v>
      </c>
      <c r="E15" s="3">
        <v>1251</v>
      </c>
      <c r="F15" s="3">
        <v>0</v>
      </c>
      <c r="G15" s="3">
        <f>VLOOKUP(C15,Codex!$A$1:$B$100,2,0)</f>
        <v>0</v>
      </c>
    </row>
    <row r="16" spans="1:10" x14ac:dyDescent="0.25">
      <c r="A16" t="s">
        <v>110</v>
      </c>
      <c r="B16" t="s">
        <v>2</v>
      </c>
      <c r="C16" t="s">
        <v>22</v>
      </c>
      <c r="D16" t="s">
        <v>125</v>
      </c>
      <c r="E16" s="3">
        <v>620</v>
      </c>
      <c r="F16" s="3">
        <v>0</v>
      </c>
      <c r="G16" s="3">
        <f>VLOOKUP(C16,Codex!$A$1:$B$100,2,0)</f>
        <v>0</v>
      </c>
    </row>
    <row r="17" spans="1:7" x14ac:dyDescent="0.25">
      <c r="A17" t="s">
        <v>110</v>
      </c>
      <c r="B17" t="s">
        <v>2</v>
      </c>
      <c r="C17" t="s">
        <v>8</v>
      </c>
      <c r="D17" t="s">
        <v>126</v>
      </c>
      <c r="E17" s="3">
        <v>4385</v>
      </c>
      <c r="F17" s="3">
        <v>1</v>
      </c>
      <c r="G17" s="3">
        <f>VLOOKUP(C17,Codex!$A$1:$B$100,2,0)</f>
        <v>0</v>
      </c>
    </row>
    <row r="18" spans="1:7" x14ac:dyDescent="0.25">
      <c r="A18" t="s">
        <v>112</v>
      </c>
      <c r="B18" t="s">
        <v>2</v>
      </c>
      <c r="C18" t="s">
        <v>97</v>
      </c>
      <c r="D18" t="s">
        <v>127</v>
      </c>
      <c r="E18" s="3">
        <v>872</v>
      </c>
      <c r="F18" s="3">
        <v>0</v>
      </c>
      <c r="G18" s="3">
        <f>VLOOKUP(C18,Codex!$A$1:$B$100,2,0)</f>
        <v>0</v>
      </c>
    </row>
    <row r="19" spans="1:7" x14ac:dyDescent="0.25">
      <c r="A19" t="s">
        <v>121</v>
      </c>
      <c r="B19" t="s">
        <v>2</v>
      </c>
      <c r="C19" t="s">
        <v>59</v>
      </c>
      <c r="D19" t="s">
        <v>128</v>
      </c>
      <c r="E19" s="3">
        <v>4675</v>
      </c>
      <c r="F19" s="3">
        <v>1</v>
      </c>
      <c r="G19" s="3">
        <f>VLOOKUP(C19,Codex!$A$1:$B$100,2,0)</f>
        <v>1</v>
      </c>
    </row>
    <row r="20" spans="1:7" x14ac:dyDescent="0.25">
      <c r="A20" t="s">
        <v>107</v>
      </c>
      <c r="B20" t="s">
        <v>2</v>
      </c>
      <c r="C20" t="s">
        <v>80</v>
      </c>
      <c r="D20" t="s">
        <v>129</v>
      </c>
      <c r="E20" s="3">
        <v>5325</v>
      </c>
      <c r="F20" s="3">
        <v>1</v>
      </c>
      <c r="G20" s="3">
        <f>VLOOKUP(C20,Codex!$A$1:$B$100,2,0)</f>
        <v>0</v>
      </c>
    </row>
    <row r="21" spans="1:7" x14ac:dyDescent="0.25">
      <c r="A21" t="s">
        <v>112</v>
      </c>
      <c r="B21" t="s">
        <v>2</v>
      </c>
      <c r="C21" t="s">
        <v>41</v>
      </c>
      <c r="D21" t="s">
        <v>130</v>
      </c>
      <c r="E21" s="3">
        <v>5618</v>
      </c>
      <c r="F21" s="3">
        <v>1</v>
      </c>
      <c r="G21" s="3">
        <f>VLOOKUP(C21,Codex!$A$1:$B$100,2,0)</f>
        <v>1</v>
      </c>
    </row>
    <row r="22" spans="1:7" x14ac:dyDescent="0.25">
      <c r="A22" t="s">
        <v>112</v>
      </c>
      <c r="B22" t="s">
        <v>2</v>
      </c>
      <c r="C22" t="s">
        <v>94</v>
      </c>
      <c r="D22" t="s">
        <v>131</v>
      </c>
      <c r="E22" s="3">
        <v>3490</v>
      </c>
      <c r="F22" s="3">
        <v>0</v>
      </c>
      <c r="G22" s="3">
        <f>VLOOKUP(C22,Codex!$A$1:$B$100,2,0)</f>
        <v>0</v>
      </c>
    </row>
    <row r="23" spans="1:7" x14ac:dyDescent="0.25">
      <c r="A23" t="s">
        <v>110</v>
      </c>
      <c r="B23" t="s">
        <v>2</v>
      </c>
      <c r="C23" t="s">
        <v>98</v>
      </c>
      <c r="D23" t="s">
        <v>132</v>
      </c>
      <c r="E23" s="3">
        <v>726</v>
      </c>
      <c r="F23" s="3">
        <v>0</v>
      </c>
      <c r="G23" s="3">
        <f>VLOOKUP(C23,Codex!$A$1:$B$100,2,0)</f>
        <v>0</v>
      </c>
    </row>
    <row r="24" spans="1:7" x14ac:dyDescent="0.25">
      <c r="A24" t="s">
        <v>133</v>
      </c>
      <c r="B24" t="s">
        <v>2</v>
      </c>
      <c r="C24" t="s">
        <v>6</v>
      </c>
      <c r="D24" t="s">
        <v>134</v>
      </c>
      <c r="E24" s="3">
        <v>4519</v>
      </c>
      <c r="F24" s="3">
        <v>1</v>
      </c>
      <c r="G24" s="3">
        <f>VLOOKUP(C24,Codex!$A$1:$B$100,2,0)</f>
        <v>0</v>
      </c>
    </row>
    <row r="25" spans="1:7" x14ac:dyDescent="0.25">
      <c r="A25" t="s">
        <v>118</v>
      </c>
      <c r="B25" t="s">
        <v>2</v>
      </c>
      <c r="C25" t="s">
        <v>75</v>
      </c>
      <c r="D25" t="s">
        <v>135</v>
      </c>
      <c r="E25" s="3">
        <v>886</v>
      </c>
      <c r="F25" s="3">
        <v>0</v>
      </c>
      <c r="G25" s="3">
        <f>VLOOKUP(C25,Codex!$A$1:$B$100,2,0)</f>
        <v>0</v>
      </c>
    </row>
    <row r="26" spans="1:7" x14ac:dyDescent="0.25">
      <c r="A26" t="s">
        <v>110</v>
      </c>
      <c r="B26" t="s">
        <v>2</v>
      </c>
      <c r="C26" t="s">
        <v>15</v>
      </c>
      <c r="D26" t="s">
        <v>136</v>
      </c>
      <c r="E26" s="3">
        <v>1700</v>
      </c>
      <c r="F26" s="3">
        <v>0</v>
      </c>
      <c r="G26" s="3">
        <f>VLOOKUP(C26,Codex!$A$1:$B$100,2,0)</f>
        <v>0</v>
      </c>
    </row>
    <row r="27" spans="1:7" x14ac:dyDescent="0.25">
      <c r="A27" t="s">
        <v>110</v>
      </c>
      <c r="B27" t="s">
        <v>2</v>
      </c>
      <c r="C27" t="s">
        <v>25</v>
      </c>
      <c r="D27" t="s">
        <v>137</v>
      </c>
      <c r="E27" s="3">
        <v>4808</v>
      </c>
      <c r="F27" s="3">
        <v>1</v>
      </c>
      <c r="G27" s="3">
        <f>VLOOKUP(C27,Codex!$A$1:$B$100,2,0)</f>
        <v>1</v>
      </c>
    </row>
    <row r="28" spans="1:7" x14ac:dyDescent="0.25">
      <c r="A28" t="s">
        <v>110</v>
      </c>
      <c r="B28" t="s">
        <v>2</v>
      </c>
      <c r="C28" t="s">
        <v>10</v>
      </c>
      <c r="D28" t="s">
        <v>138</v>
      </c>
      <c r="E28" s="3">
        <v>457</v>
      </c>
      <c r="F28" s="3">
        <v>0</v>
      </c>
      <c r="G28" s="3">
        <f>VLOOKUP(C28,Codex!$A$1:$B$100,2,0)</f>
        <v>0</v>
      </c>
    </row>
    <row r="29" spans="1:7" x14ac:dyDescent="0.25">
      <c r="A29" t="s">
        <v>110</v>
      </c>
      <c r="B29" t="s">
        <v>2</v>
      </c>
      <c r="C29" t="s">
        <v>5</v>
      </c>
      <c r="D29" t="s">
        <v>139</v>
      </c>
      <c r="E29" s="3">
        <v>415</v>
      </c>
      <c r="F29" s="3">
        <v>0</v>
      </c>
      <c r="G29" s="3">
        <f>VLOOKUP(C29,Codex!$A$1:$B$100,2,0)</f>
        <v>0</v>
      </c>
    </row>
    <row r="30" spans="1:7" x14ac:dyDescent="0.25">
      <c r="A30" t="s">
        <v>107</v>
      </c>
      <c r="B30" t="s">
        <v>2</v>
      </c>
      <c r="C30" t="s">
        <v>100</v>
      </c>
      <c r="D30" t="s">
        <v>140</v>
      </c>
      <c r="E30" s="3">
        <v>7509</v>
      </c>
      <c r="F30" s="3">
        <v>1</v>
      </c>
      <c r="G30" s="3">
        <f>VLOOKUP(C30,Codex!$A$1:$B$100,2,0)</f>
        <v>1</v>
      </c>
    </row>
    <row r="31" spans="1:7" x14ac:dyDescent="0.25">
      <c r="A31" t="s">
        <v>105</v>
      </c>
      <c r="B31" t="s">
        <v>2</v>
      </c>
      <c r="C31" t="s">
        <v>83</v>
      </c>
      <c r="D31" t="s">
        <v>141</v>
      </c>
      <c r="E31" s="3">
        <v>1457</v>
      </c>
      <c r="F31" s="3">
        <v>0</v>
      </c>
      <c r="G31" s="3">
        <f>VLOOKUP(C31,Codex!$A$1:$B$100,2,0)</f>
        <v>0</v>
      </c>
    </row>
    <row r="32" spans="1:7" x14ac:dyDescent="0.25">
      <c r="A32" t="s">
        <v>110</v>
      </c>
      <c r="B32" t="s">
        <v>2</v>
      </c>
      <c r="C32" t="s">
        <v>27</v>
      </c>
      <c r="D32" t="s">
        <v>142</v>
      </c>
      <c r="E32" s="3">
        <v>850</v>
      </c>
      <c r="F32" s="3">
        <v>1</v>
      </c>
      <c r="G32" s="3">
        <f>VLOOKUP(C32,Codex!$A$1:$B$100,2,0)</f>
        <v>0</v>
      </c>
    </row>
    <row r="33" spans="1:7" x14ac:dyDescent="0.25">
      <c r="A33" t="s">
        <v>110</v>
      </c>
      <c r="B33" t="s">
        <v>2</v>
      </c>
      <c r="C33" t="s">
        <v>4</v>
      </c>
      <c r="D33" t="s">
        <v>143</v>
      </c>
      <c r="E33" s="3">
        <v>1109</v>
      </c>
      <c r="F33" s="3">
        <v>0</v>
      </c>
      <c r="G33" s="3">
        <f>VLOOKUP(C33,Codex!$A$1:$B$100,2,0)</f>
        <v>0</v>
      </c>
    </row>
    <row r="34" spans="1:7" x14ac:dyDescent="0.25">
      <c r="A34" t="s">
        <v>110</v>
      </c>
      <c r="B34" t="s">
        <v>2</v>
      </c>
      <c r="C34" t="s">
        <v>51</v>
      </c>
      <c r="D34" t="s">
        <v>144</v>
      </c>
      <c r="E34" s="3">
        <v>462</v>
      </c>
      <c r="F34" s="3">
        <v>0</v>
      </c>
      <c r="G34" s="3">
        <f>VLOOKUP(C34,Codex!$A$1:$B$100,2,0)</f>
        <v>0</v>
      </c>
    </row>
    <row r="35" spans="1:7" x14ac:dyDescent="0.25">
      <c r="A35" t="s">
        <v>118</v>
      </c>
      <c r="B35" t="s">
        <v>2</v>
      </c>
      <c r="C35" t="s">
        <v>70</v>
      </c>
      <c r="D35" t="s">
        <v>145</v>
      </c>
      <c r="E35" s="3">
        <v>601</v>
      </c>
      <c r="F35" s="3">
        <v>0</v>
      </c>
      <c r="G35" s="3">
        <f>VLOOKUP(C35,Codex!$A$1:$B$100,2,0)</f>
        <v>0</v>
      </c>
    </row>
    <row r="36" spans="1:7" x14ac:dyDescent="0.25">
      <c r="A36" t="s">
        <v>118</v>
      </c>
      <c r="B36" t="s">
        <v>2</v>
      </c>
      <c r="C36" t="s">
        <v>66</v>
      </c>
      <c r="D36" t="s">
        <v>146</v>
      </c>
      <c r="E36" s="3">
        <v>671</v>
      </c>
      <c r="F36" s="3">
        <v>0</v>
      </c>
      <c r="G36" s="3">
        <f>VLOOKUP(C36,Codex!$A$1:$B$100,2,0)</f>
        <v>0</v>
      </c>
    </row>
    <row r="37" spans="1:7" x14ac:dyDescent="0.25">
      <c r="A37" t="s">
        <v>110</v>
      </c>
      <c r="B37" t="s">
        <v>2</v>
      </c>
      <c r="C37" t="s">
        <v>23</v>
      </c>
      <c r="D37" t="s">
        <v>147</v>
      </c>
      <c r="E37" s="3">
        <v>10148</v>
      </c>
      <c r="F37" s="3">
        <v>1</v>
      </c>
      <c r="G37" s="3">
        <f>VLOOKUP(C37,Codex!$A$1:$B$100,2,0)</f>
        <v>1</v>
      </c>
    </row>
    <row r="38" spans="1:7" x14ac:dyDescent="0.25">
      <c r="A38" t="s">
        <v>148</v>
      </c>
      <c r="B38" t="s">
        <v>2</v>
      </c>
      <c r="C38" t="s">
        <v>86</v>
      </c>
      <c r="D38" t="s">
        <v>149</v>
      </c>
      <c r="E38" s="3">
        <v>869</v>
      </c>
      <c r="F38" s="3">
        <v>0</v>
      </c>
      <c r="G38" s="3">
        <f>VLOOKUP(C38,Codex!$A$1:$B$100,2,0)</f>
        <v>0</v>
      </c>
    </row>
    <row r="39" spans="1:7" x14ac:dyDescent="0.25">
      <c r="A39" t="s">
        <v>110</v>
      </c>
      <c r="B39" t="s">
        <v>2</v>
      </c>
      <c r="C39" t="s">
        <v>24</v>
      </c>
      <c r="D39" t="s">
        <v>150</v>
      </c>
      <c r="E39" s="3">
        <v>4525</v>
      </c>
      <c r="F39" s="3">
        <v>1</v>
      </c>
      <c r="G39" s="3">
        <f>VLOOKUP(C39,Codex!$A$1:$B$100,2,0)</f>
        <v>1</v>
      </c>
    </row>
    <row r="40" spans="1:7" x14ac:dyDescent="0.25">
      <c r="A40" t="s">
        <v>151</v>
      </c>
      <c r="B40" t="s">
        <v>2</v>
      </c>
      <c r="C40" t="s">
        <v>30</v>
      </c>
      <c r="D40" t="s">
        <v>152</v>
      </c>
      <c r="E40" s="3">
        <v>4579</v>
      </c>
      <c r="F40" s="3">
        <v>1</v>
      </c>
      <c r="G40" s="3">
        <f>VLOOKUP(C40,Codex!$A$1:$B$100,2,0)</f>
        <v>0</v>
      </c>
    </row>
    <row r="41" spans="1:7" x14ac:dyDescent="0.25">
      <c r="A41" t="s">
        <v>118</v>
      </c>
      <c r="B41" t="s">
        <v>2</v>
      </c>
      <c r="C41" t="s">
        <v>67</v>
      </c>
      <c r="D41" t="s">
        <v>153</v>
      </c>
      <c r="E41" s="3">
        <v>713</v>
      </c>
      <c r="F41" s="3">
        <v>0</v>
      </c>
      <c r="G41" s="3">
        <f>VLOOKUP(C41,Codex!$A$1:$B$100,2,0)</f>
        <v>0</v>
      </c>
    </row>
    <row r="42" spans="1:7" x14ac:dyDescent="0.25">
      <c r="A42" t="s">
        <v>118</v>
      </c>
      <c r="B42" t="s">
        <v>2</v>
      </c>
      <c r="C42" t="s">
        <v>64</v>
      </c>
      <c r="D42" t="s">
        <v>154</v>
      </c>
      <c r="E42" s="3">
        <v>789</v>
      </c>
      <c r="F42" s="3">
        <v>0</v>
      </c>
      <c r="G42" s="3">
        <f>VLOOKUP(C42,Codex!$A$1:$B$100,2,0)</f>
        <v>0</v>
      </c>
    </row>
    <row r="43" spans="1:7" x14ac:dyDescent="0.25">
      <c r="A43" t="s">
        <v>133</v>
      </c>
      <c r="B43" t="s">
        <v>2</v>
      </c>
      <c r="C43" t="s">
        <v>34</v>
      </c>
      <c r="D43" t="s">
        <v>155</v>
      </c>
      <c r="E43" s="3">
        <v>845</v>
      </c>
      <c r="F43" s="3">
        <v>0</v>
      </c>
      <c r="G43" s="3">
        <f>VLOOKUP(C43,Codex!$A$1:$B$100,2,0)</f>
        <v>0</v>
      </c>
    </row>
    <row r="44" spans="1:7" x14ac:dyDescent="0.25">
      <c r="A44" t="s">
        <v>110</v>
      </c>
      <c r="B44" t="s">
        <v>2</v>
      </c>
      <c r="C44" t="s">
        <v>18</v>
      </c>
      <c r="D44" t="s">
        <v>156</v>
      </c>
      <c r="E44" s="3">
        <v>3798</v>
      </c>
      <c r="F44" s="3">
        <v>1</v>
      </c>
      <c r="G44" s="3">
        <f>VLOOKUP(C44,Codex!$A$1:$B$100,2,0)</f>
        <v>0</v>
      </c>
    </row>
    <row r="45" spans="1:7" x14ac:dyDescent="0.25">
      <c r="A45" t="s">
        <v>110</v>
      </c>
      <c r="B45" t="s">
        <v>2</v>
      </c>
      <c r="C45" t="s">
        <v>9</v>
      </c>
      <c r="D45" t="s">
        <v>157</v>
      </c>
      <c r="E45" s="3">
        <v>1983</v>
      </c>
      <c r="F45" s="3">
        <v>1</v>
      </c>
      <c r="G45" s="3">
        <f>VLOOKUP(C45,Codex!$A$1:$B$100,2,0)</f>
        <v>0</v>
      </c>
    </row>
    <row r="46" spans="1:7" x14ac:dyDescent="0.25">
      <c r="A46" t="s">
        <v>112</v>
      </c>
      <c r="B46" t="s">
        <v>2</v>
      </c>
      <c r="C46" t="s">
        <v>39</v>
      </c>
      <c r="D46" t="s">
        <v>158</v>
      </c>
      <c r="E46" s="3">
        <v>583</v>
      </c>
      <c r="F46" s="3">
        <v>0</v>
      </c>
      <c r="G46" s="3">
        <f>VLOOKUP(C46,Codex!$A$1:$B$100,2,0)</f>
        <v>0</v>
      </c>
    </row>
    <row r="47" spans="1:7" x14ac:dyDescent="0.25">
      <c r="A47" t="s">
        <v>112</v>
      </c>
      <c r="B47" t="s">
        <v>2</v>
      </c>
      <c r="C47" t="s">
        <v>37</v>
      </c>
      <c r="D47" t="s">
        <v>159</v>
      </c>
      <c r="E47" s="3">
        <v>4990</v>
      </c>
      <c r="F47" s="3">
        <v>1</v>
      </c>
      <c r="G47" s="3">
        <f>VLOOKUP(C47,Codex!$A$1:$B$100,2,0)</f>
        <v>1</v>
      </c>
    </row>
    <row r="48" spans="1:7" x14ac:dyDescent="0.25">
      <c r="A48" t="s">
        <v>112</v>
      </c>
      <c r="B48" t="s">
        <v>2</v>
      </c>
      <c r="C48" t="s">
        <v>44</v>
      </c>
      <c r="D48" t="s">
        <v>160</v>
      </c>
      <c r="E48" s="3">
        <v>1240</v>
      </c>
      <c r="F48" s="3">
        <v>0</v>
      </c>
      <c r="G48" s="3">
        <f>VLOOKUP(C48,Codex!$A$1:$B$100,2,0)</f>
        <v>0</v>
      </c>
    </row>
    <row r="49" spans="1:7" x14ac:dyDescent="0.25">
      <c r="A49" t="s">
        <v>110</v>
      </c>
      <c r="B49" t="s">
        <v>2</v>
      </c>
      <c r="C49" t="s">
        <v>55</v>
      </c>
      <c r="D49" t="s">
        <v>161</v>
      </c>
      <c r="E49" s="3">
        <v>3869</v>
      </c>
      <c r="F49" s="3">
        <v>1</v>
      </c>
      <c r="G49" s="3">
        <f>VLOOKUP(C49,Codex!$A$1:$B$100,2,0)</f>
        <v>0</v>
      </c>
    </row>
    <row r="50" spans="1:7" x14ac:dyDescent="0.25">
      <c r="A50" t="s">
        <v>118</v>
      </c>
      <c r="B50" t="s">
        <v>2</v>
      </c>
      <c r="C50" t="s">
        <v>65</v>
      </c>
      <c r="D50" t="s">
        <v>162</v>
      </c>
      <c r="E50" s="3">
        <v>814</v>
      </c>
      <c r="F50" s="3">
        <v>0</v>
      </c>
      <c r="G50" s="3">
        <f>VLOOKUP(C50,Codex!$A$1:$B$100,2,0)</f>
        <v>0</v>
      </c>
    </row>
    <row r="51" spans="1:7" x14ac:dyDescent="0.25">
      <c r="A51" t="s">
        <v>110</v>
      </c>
      <c r="B51" t="s">
        <v>2</v>
      </c>
      <c r="C51" t="s">
        <v>19</v>
      </c>
      <c r="D51" t="s">
        <v>163</v>
      </c>
      <c r="E51" s="3">
        <v>456</v>
      </c>
      <c r="F51" s="3">
        <v>0</v>
      </c>
      <c r="G51" s="3">
        <f>VLOOKUP(C51,Codex!$A$1:$B$100,2,0)</f>
        <v>0</v>
      </c>
    </row>
    <row r="52" spans="1:7" x14ac:dyDescent="0.25">
      <c r="A52" t="s">
        <v>112</v>
      </c>
      <c r="B52" t="s">
        <v>2</v>
      </c>
      <c r="C52" t="s">
        <v>36</v>
      </c>
      <c r="D52" t="s">
        <v>164</v>
      </c>
      <c r="E52" s="3">
        <v>823</v>
      </c>
      <c r="F52" s="3">
        <v>0</v>
      </c>
      <c r="G52" s="3">
        <f>VLOOKUP(C52,Codex!$A$1:$B$100,2,0)</f>
        <v>0</v>
      </c>
    </row>
    <row r="53" spans="1:7" x14ac:dyDescent="0.25">
      <c r="A53" t="s">
        <v>105</v>
      </c>
      <c r="B53" t="s">
        <v>2</v>
      </c>
      <c r="C53" t="s">
        <v>84</v>
      </c>
      <c r="D53" t="s">
        <v>165</v>
      </c>
      <c r="E53" s="3">
        <v>1127</v>
      </c>
      <c r="F53" s="3">
        <v>0</v>
      </c>
      <c r="G53" s="3">
        <f>VLOOKUP(C53,Codex!$A$1:$B$100,2,0)</f>
        <v>0</v>
      </c>
    </row>
    <row r="54" spans="1:7" x14ac:dyDescent="0.25">
      <c r="A54" t="s">
        <v>107</v>
      </c>
      <c r="B54" t="s">
        <v>2</v>
      </c>
      <c r="C54" t="s">
        <v>99</v>
      </c>
      <c r="D54" t="s">
        <v>166</v>
      </c>
      <c r="E54" s="3">
        <v>1390</v>
      </c>
      <c r="F54" s="3">
        <v>0</v>
      </c>
      <c r="G54" s="3">
        <f>VLOOKUP(C54,Codex!$A$1:$B$100,2,0)</f>
        <v>0</v>
      </c>
    </row>
    <row r="55" spans="1:7" x14ac:dyDescent="0.25">
      <c r="A55" t="s">
        <v>118</v>
      </c>
      <c r="B55" t="s">
        <v>2</v>
      </c>
      <c r="C55" t="s">
        <v>76</v>
      </c>
      <c r="D55" t="s">
        <v>167</v>
      </c>
      <c r="E55" s="3">
        <v>621</v>
      </c>
      <c r="F55" s="3">
        <v>0</v>
      </c>
      <c r="G55" s="3">
        <f>VLOOKUP(C55,Codex!$A$1:$B$100,2,0)</f>
        <v>0</v>
      </c>
    </row>
    <row r="56" spans="1:7" x14ac:dyDescent="0.25">
      <c r="A56" t="s">
        <v>110</v>
      </c>
      <c r="B56" t="s">
        <v>2</v>
      </c>
      <c r="C56" t="s">
        <v>168</v>
      </c>
      <c r="D56" t="s">
        <v>169</v>
      </c>
      <c r="E56" s="3">
        <v>716</v>
      </c>
      <c r="F56" s="3">
        <v>0</v>
      </c>
      <c r="G56" s="3">
        <f>VLOOKUP(C56,Codex!$A$1:$B$100,2,0)</f>
        <v>0</v>
      </c>
    </row>
    <row r="57" spans="1:7" x14ac:dyDescent="0.25">
      <c r="A57" t="s">
        <v>112</v>
      </c>
      <c r="B57" t="s">
        <v>2</v>
      </c>
      <c r="C57" t="s">
        <v>42</v>
      </c>
      <c r="D57" t="s">
        <v>170</v>
      </c>
      <c r="E57" s="3">
        <v>2616</v>
      </c>
      <c r="F57" s="3">
        <v>0</v>
      </c>
      <c r="G57" s="3">
        <f>VLOOKUP(C57,Codex!$A$1:$B$100,2,0)</f>
        <v>1</v>
      </c>
    </row>
    <row r="58" spans="1:7" x14ac:dyDescent="0.25">
      <c r="A58" t="s">
        <v>110</v>
      </c>
      <c r="B58" t="s">
        <v>2</v>
      </c>
      <c r="C58" t="s">
        <v>16</v>
      </c>
      <c r="D58" t="s">
        <v>171</v>
      </c>
      <c r="E58" s="3">
        <v>7731</v>
      </c>
      <c r="F58" s="3">
        <v>1</v>
      </c>
      <c r="G58" s="3">
        <f>VLOOKUP(C58,Codex!$A$1:$B$100,2,0)</f>
        <v>1</v>
      </c>
    </row>
    <row r="59" spans="1:7" x14ac:dyDescent="0.25">
      <c r="A59" t="s">
        <v>148</v>
      </c>
      <c r="B59" t="s">
        <v>2</v>
      </c>
      <c r="C59" t="s">
        <v>88</v>
      </c>
      <c r="D59" t="s">
        <v>172</v>
      </c>
      <c r="E59" s="3">
        <v>1556</v>
      </c>
      <c r="F59" s="3">
        <v>0</v>
      </c>
      <c r="G59" s="3">
        <f>VLOOKUP(C59,Codex!$A$1:$B$100,2,0)</f>
        <v>0</v>
      </c>
    </row>
    <row r="60" spans="1:7" x14ac:dyDescent="0.25">
      <c r="A60" t="s">
        <v>151</v>
      </c>
      <c r="B60" t="s">
        <v>2</v>
      </c>
      <c r="C60" t="s">
        <v>31</v>
      </c>
      <c r="D60" t="s">
        <v>173</v>
      </c>
      <c r="E60" s="3">
        <v>1759</v>
      </c>
      <c r="F60" s="3">
        <v>0</v>
      </c>
      <c r="G60" s="3">
        <f>VLOOKUP(C60,Codex!$A$1:$B$100,2,0)</f>
        <v>0</v>
      </c>
    </row>
    <row r="61" spans="1:7" x14ac:dyDescent="0.25">
      <c r="A61" t="s">
        <v>110</v>
      </c>
      <c r="B61" t="s">
        <v>2</v>
      </c>
      <c r="C61" t="s">
        <v>7</v>
      </c>
      <c r="D61" t="s">
        <v>174</v>
      </c>
      <c r="E61" s="3">
        <v>6781</v>
      </c>
      <c r="F61" s="3">
        <v>1</v>
      </c>
      <c r="G61" s="3">
        <f>VLOOKUP(C61,Codex!$A$1:$B$100,2,0)</f>
        <v>0</v>
      </c>
    </row>
    <row r="62" spans="1:7" x14ac:dyDescent="0.25">
      <c r="A62" t="s">
        <v>121</v>
      </c>
      <c r="B62" t="s">
        <v>2</v>
      </c>
      <c r="C62" t="s">
        <v>85</v>
      </c>
      <c r="D62" t="s">
        <v>175</v>
      </c>
      <c r="E62" s="3">
        <v>696</v>
      </c>
      <c r="F62" s="3">
        <v>0</v>
      </c>
      <c r="G62" s="3">
        <f>VLOOKUP(C62,Codex!$A$1:$B$100,2,0)</f>
        <v>0</v>
      </c>
    </row>
    <row r="63" spans="1:7" x14ac:dyDescent="0.25">
      <c r="A63" t="s">
        <v>121</v>
      </c>
      <c r="B63" t="s">
        <v>2</v>
      </c>
      <c r="C63" t="s">
        <v>61</v>
      </c>
      <c r="D63" t="s">
        <v>176</v>
      </c>
      <c r="E63" s="3">
        <v>2754</v>
      </c>
      <c r="F63" s="3">
        <v>1</v>
      </c>
      <c r="G63" s="3">
        <f>VLOOKUP(C63,Codex!$A$1:$B$100,2,0)</f>
        <v>0</v>
      </c>
    </row>
    <row r="64" spans="1:7" x14ac:dyDescent="0.25">
      <c r="A64" t="s">
        <v>110</v>
      </c>
      <c r="B64" t="s">
        <v>2</v>
      </c>
      <c r="C64" t="s">
        <v>50</v>
      </c>
      <c r="D64" t="s">
        <v>177</v>
      </c>
      <c r="E64" s="3">
        <v>2226</v>
      </c>
      <c r="F64" s="3">
        <v>0</v>
      </c>
      <c r="G64" s="3">
        <f>VLOOKUP(C64,Codex!$A$1:$B$100,2,0)</f>
        <v>0</v>
      </c>
    </row>
    <row r="65" spans="1:7" x14ac:dyDescent="0.25">
      <c r="A65" t="s">
        <v>110</v>
      </c>
      <c r="B65" t="s">
        <v>2</v>
      </c>
      <c r="C65" t="s">
        <v>13</v>
      </c>
      <c r="D65" t="s">
        <v>178</v>
      </c>
      <c r="E65" s="3">
        <v>5347</v>
      </c>
      <c r="F65" s="3">
        <v>0</v>
      </c>
      <c r="G65" s="3">
        <f>VLOOKUP(C65,Codex!$A$1:$B$100,2,0)</f>
        <v>1</v>
      </c>
    </row>
    <row r="66" spans="1:7" x14ac:dyDescent="0.25">
      <c r="A66" t="s">
        <v>110</v>
      </c>
      <c r="B66" t="s">
        <v>2</v>
      </c>
      <c r="C66" t="s">
        <v>21</v>
      </c>
      <c r="D66" t="s">
        <v>179</v>
      </c>
      <c r="E66" s="3">
        <v>1496</v>
      </c>
      <c r="F66" s="3">
        <v>1</v>
      </c>
      <c r="G66" s="3">
        <f>VLOOKUP(C66,Codex!$A$1:$B$100,2,0)</f>
        <v>0</v>
      </c>
    </row>
    <row r="67" spans="1:7" x14ac:dyDescent="0.25">
      <c r="A67" t="s">
        <v>118</v>
      </c>
      <c r="B67" t="s">
        <v>2</v>
      </c>
      <c r="C67" t="s">
        <v>63</v>
      </c>
      <c r="D67" t="s">
        <v>180</v>
      </c>
      <c r="E67" s="3">
        <v>1725</v>
      </c>
      <c r="F67" s="3">
        <v>0</v>
      </c>
      <c r="G67" s="3">
        <f>VLOOKUP(C67,Codex!$A$1:$B$100,2,0)</f>
        <v>0</v>
      </c>
    </row>
    <row r="68" spans="1:7" x14ac:dyDescent="0.25">
      <c r="A68" t="s">
        <v>107</v>
      </c>
      <c r="B68" t="s">
        <v>2</v>
      </c>
      <c r="C68" t="s">
        <v>79</v>
      </c>
      <c r="D68" t="s">
        <v>181</v>
      </c>
      <c r="E68" s="3">
        <v>546</v>
      </c>
      <c r="F68" s="3">
        <v>0</v>
      </c>
      <c r="G68" s="3">
        <f>VLOOKUP(C68,Codex!$A$1:$B$100,2,0)</f>
        <v>0</v>
      </c>
    </row>
    <row r="69" spans="1:7" x14ac:dyDescent="0.25">
      <c r="A69" t="s">
        <v>110</v>
      </c>
      <c r="B69" t="s">
        <v>2</v>
      </c>
      <c r="C69" t="s">
        <v>52</v>
      </c>
      <c r="D69" t="s">
        <v>182</v>
      </c>
      <c r="E69" s="3">
        <v>555</v>
      </c>
      <c r="F69" s="3">
        <v>0</v>
      </c>
      <c r="G69" s="3">
        <f>VLOOKUP(C69,Codex!$A$1:$B$100,2,0)</f>
        <v>0</v>
      </c>
    </row>
    <row r="70" spans="1:7" x14ac:dyDescent="0.25">
      <c r="A70" t="s">
        <v>110</v>
      </c>
      <c r="B70" t="s">
        <v>2</v>
      </c>
      <c r="C70" t="s">
        <v>29</v>
      </c>
      <c r="D70" t="s">
        <v>183</v>
      </c>
      <c r="E70" s="3">
        <v>2302</v>
      </c>
      <c r="F70" s="3">
        <v>0</v>
      </c>
      <c r="G70" s="3">
        <f>VLOOKUP(C70,Codex!$A$1:$B$100,2,0)</f>
        <v>0</v>
      </c>
    </row>
    <row r="71" spans="1:7" x14ac:dyDescent="0.25">
      <c r="A71" t="s">
        <v>110</v>
      </c>
      <c r="B71" t="s">
        <v>2</v>
      </c>
      <c r="C71" t="s">
        <v>3</v>
      </c>
      <c r="D71" t="s">
        <v>184</v>
      </c>
      <c r="E71" s="3">
        <v>13835</v>
      </c>
      <c r="F71" s="3">
        <v>1</v>
      </c>
      <c r="G71" s="3">
        <f>VLOOKUP(C71,Codex!$A$1:$B$100,2,0)</f>
        <v>1</v>
      </c>
    </row>
    <row r="72" spans="1:7" x14ac:dyDescent="0.25">
      <c r="A72" t="s">
        <v>121</v>
      </c>
      <c r="B72" t="s">
        <v>2</v>
      </c>
      <c r="C72" t="s">
        <v>58</v>
      </c>
      <c r="D72" t="s">
        <v>185</v>
      </c>
      <c r="E72" s="3">
        <v>5116</v>
      </c>
      <c r="F72" s="3">
        <v>1</v>
      </c>
      <c r="G72" s="3">
        <f>VLOOKUP(C72,Codex!$A$1:$B$100,2,0)</f>
        <v>0</v>
      </c>
    </row>
    <row r="73" spans="1:7" x14ac:dyDescent="0.25">
      <c r="A73" t="s">
        <v>133</v>
      </c>
      <c r="B73" t="s">
        <v>2</v>
      </c>
      <c r="C73" t="s">
        <v>35</v>
      </c>
      <c r="D73" t="s">
        <v>186</v>
      </c>
      <c r="E73" s="3">
        <v>1003</v>
      </c>
      <c r="F73" s="3">
        <v>0</v>
      </c>
      <c r="G73" s="3">
        <f>VLOOKUP(C73,Codex!$A$1:$B$100,2,0)</f>
        <v>0</v>
      </c>
    </row>
    <row r="74" spans="1:7" x14ac:dyDescent="0.25">
      <c r="A74" t="s">
        <v>133</v>
      </c>
      <c r="B74" t="s">
        <v>2</v>
      </c>
      <c r="C74" t="s">
        <v>91</v>
      </c>
      <c r="D74" t="s">
        <v>187</v>
      </c>
      <c r="E74" s="3">
        <v>4989</v>
      </c>
      <c r="F74" s="3">
        <v>1</v>
      </c>
      <c r="G74" s="3">
        <f>VLOOKUP(C74,Codex!$A$1:$B$100,2,0)</f>
        <v>1</v>
      </c>
    </row>
    <row r="75" spans="1:7" x14ac:dyDescent="0.25">
      <c r="A75" t="s">
        <v>133</v>
      </c>
      <c r="B75" t="s">
        <v>2</v>
      </c>
      <c r="C75" t="s">
        <v>92</v>
      </c>
      <c r="D75" t="s">
        <v>188</v>
      </c>
      <c r="E75" s="3">
        <v>442</v>
      </c>
      <c r="F75" s="3">
        <v>0</v>
      </c>
      <c r="G75" s="3">
        <f>VLOOKUP(C75,Codex!$A$1:$B$100,2,0)</f>
        <v>0</v>
      </c>
    </row>
    <row r="76" spans="1:7" x14ac:dyDescent="0.25">
      <c r="A76" t="s">
        <v>118</v>
      </c>
      <c r="B76" t="s">
        <v>2</v>
      </c>
      <c r="C76" t="s">
        <v>69</v>
      </c>
      <c r="D76" t="s">
        <v>189</v>
      </c>
      <c r="E76" s="3">
        <v>925</v>
      </c>
      <c r="F76" s="3">
        <v>0</v>
      </c>
      <c r="G76" s="3">
        <f>VLOOKUP(C76,Codex!$A$1:$B$100,2,0)</f>
        <v>0</v>
      </c>
    </row>
    <row r="77" spans="1:7" x14ac:dyDescent="0.25">
      <c r="A77" t="s">
        <v>112</v>
      </c>
      <c r="B77" t="s">
        <v>2</v>
      </c>
      <c r="C77" t="s">
        <v>43</v>
      </c>
      <c r="D77" t="s">
        <v>190</v>
      </c>
      <c r="E77" s="3">
        <v>5480</v>
      </c>
      <c r="F77" s="3">
        <v>1</v>
      </c>
      <c r="G77" s="3">
        <f>VLOOKUP(C77,Codex!$A$1:$B$100,2,0)</f>
        <v>0</v>
      </c>
    </row>
    <row r="78" spans="1:7" x14ac:dyDescent="0.25">
      <c r="A78" t="s">
        <v>133</v>
      </c>
      <c r="B78" t="s">
        <v>2</v>
      </c>
      <c r="C78" t="s">
        <v>93</v>
      </c>
      <c r="D78" t="s">
        <v>191</v>
      </c>
      <c r="E78" s="3">
        <v>981</v>
      </c>
      <c r="F78" s="3">
        <v>0</v>
      </c>
      <c r="G78" s="3">
        <f>VLOOKUP(C78,Codex!$A$1:$B$100,2,0)</f>
        <v>0</v>
      </c>
    </row>
    <row r="79" spans="1:7" x14ac:dyDescent="0.25">
      <c r="A79" t="s">
        <v>133</v>
      </c>
      <c r="B79" t="s">
        <v>2</v>
      </c>
      <c r="C79" t="s">
        <v>33</v>
      </c>
      <c r="D79" t="s">
        <v>192</v>
      </c>
      <c r="E79" s="3">
        <v>5522</v>
      </c>
      <c r="F79" s="3">
        <v>1</v>
      </c>
      <c r="G79" s="3">
        <f>VLOOKUP(C79,Codex!$A$1:$B$100,2,0)</f>
        <v>1</v>
      </c>
    </row>
    <row r="80" spans="1:7" x14ac:dyDescent="0.25">
      <c r="A80" t="s">
        <v>118</v>
      </c>
      <c r="B80" t="s">
        <v>2</v>
      </c>
      <c r="C80" t="s">
        <v>73</v>
      </c>
      <c r="D80" t="s">
        <v>193</v>
      </c>
      <c r="E80" s="3">
        <v>635</v>
      </c>
      <c r="F80" s="3">
        <v>0</v>
      </c>
      <c r="G80" s="3">
        <f>VLOOKUP(C80,Codex!$A$1:$B$100,2,0)</f>
        <v>0</v>
      </c>
    </row>
    <row r="81" spans="1:7" x14ac:dyDescent="0.25">
      <c r="A81" t="s">
        <v>118</v>
      </c>
      <c r="B81" t="s">
        <v>2</v>
      </c>
      <c r="C81" t="s">
        <v>62</v>
      </c>
      <c r="D81" t="s">
        <v>194</v>
      </c>
      <c r="E81" s="3">
        <v>1138</v>
      </c>
      <c r="F81" s="3">
        <v>0</v>
      </c>
      <c r="G81" s="3">
        <f>VLOOKUP(C81,Codex!$A$1:$B$100,2,0)</f>
        <v>0</v>
      </c>
    </row>
    <row r="82" spans="1:7" x14ac:dyDescent="0.25">
      <c r="A82" t="s">
        <v>118</v>
      </c>
      <c r="B82" t="s">
        <v>2</v>
      </c>
      <c r="C82" t="s">
        <v>72</v>
      </c>
      <c r="D82" t="s">
        <v>195</v>
      </c>
      <c r="E82" s="3">
        <v>509</v>
      </c>
      <c r="F82" s="3">
        <v>0</v>
      </c>
      <c r="G82" s="3">
        <f>VLOOKUP(C82,Codex!$A$1:$B$100,2,0)</f>
        <v>0</v>
      </c>
    </row>
    <row r="83" spans="1:7" x14ac:dyDescent="0.25">
      <c r="A83" t="s">
        <v>118</v>
      </c>
      <c r="B83" t="s">
        <v>2</v>
      </c>
      <c r="C83" t="s">
        <v>74</v>
      </c>
      <c r="D83" t="s">
        <v>196</v>
      </c>
      <c r="E83" s="3">
        <v>453</v>
      </c>
      <c r="F83" s="3">
        <v>0</v>
      </c>
      <c r="G83" s="3">
        <f>VLOOKUP(C83,Codex!$A$1:$B$100,2,0)</f>
        <v>0</v>
      </c>
    </row>
    <row r="84" spans="1:7" x14ac:dyDescent="0.25">
      <c r="A84" t="s">
        <v>110</v>
      </c>
      <c r="B84" t="s">
        <v>2</v>
      </c>
      <c r="C84" t="s">
        <v>12</v>
      </c>
      <c r="D84" t="s">
        <v>197</v>
      </c>
      <c r="E84" s="3">
        <v>19348</v>
      </c>
      <c r="F84" s="3">
        <v>1</v>
      </c>
      <c r="G84" s="3">
        <f>VLOOKUP(C84,Codex!$A$1:$B$100,2,0)</f>
        <v>1</v>
      </c>
    </row>
    <row r="85" spans="1:7" x14ac:dyDescent="0.25">
      <c r="A85" t="s">
        <v>110</v>
      </c>
      <c r="B85" t="s">
        <v>2</v>
      </c>
      <c r="C85" t="s">
        <v>90</v>
      </c>
      <c r="D85" t="s">
        <v>198</v>
      </c>
      <c r="E85" s="3">
        <v>906</v>
      </c>
      <c r="F85" s="3">
        <v>0</v>
      </c>
      <c r="G85" s="3">
        <f>VLOOKUP(C85,Codex!$A$1:$B$100,2,0)</f>
        <v>0</v>
      </c>
    </row>
    <row r="86" spans="1:7" x14ac:dyDescent="0.25">
      <c r="A86" t="s">
        <v>110</v>
      </c>
      <c r="B86" t="s">
        <v>2</v>
      </c>
      <c r="C86" t="s">
        <v>17</v>
      </c>
      <c r="D86" t="s">
        <v>199</v>
      </c>
      <c r="E86" s="3">
        <v>428</v>
      </c>
      <c r="F86" s="3">
        <v>0</v>
      </c>
      <c r="G86" s="3">
        <f>VLOOKUP(C86,Codex!$A$1:$B$100,2,0)</f>
        <v>0</v>
      </c>
    </row>
    <row r="87" spans="1:7" x14ac:dyDescent="0.25">
      <c r="A87" t="s">
        <v>110</v>
      </c>
      <c r="B87" t="s">
        <v>2</v>
      </c>
      <c r="C87" t="s">
        <v>26</v>
      </c>
      <c r="D87" t="s">
        <v>200</v>
      </c>
      <c r="E87" s="3">
        <v>794</v>
      </c>
      <c r="F87" s="3">
        <v>0</v>
      </c>
      <c r="G87" s="3">
        <f>VLOOKUP(C87,Codex!$A$1:$B$100,2,0)</f>
        <v>0</v>
      </c>
    </row>
    <row r="88" spans="1:7" x14ac:dyDescent="0.25">
      <c r="A88" t="s">
        <v>133</v>
      </c>
      <c r="B88" t="s">
        <v>2</v>
      </c>
      <c r="C88" t="s">
        <v>32</v>
      </c>
      <c r="D88" t="s">
        <v>201</v>
      </c>
      <c r="E88" s="3">
        <v>4331</v>
      </c>
      <c r="F88" s="3">
        <v>1</v>
      </c>
      <c r="G88" s="3">
        <f>VLOOKUP(C88,Codex!$A$1:$B$100,2,0)</f>
        <v>1</v>
      </c>
    </row>
    <row r="89" spans="1:7" x14ac:dyDescent="0.25">
      <c r="A89" t="s">
        <v>110</v>
      </c>
      <c r="B89" t="s">
        <v>2</v>
      </c>
      <c r="C89" t="s">
        <v>28</v>
      </c>
      <c r="D89" t="s">
        <v>202</v>
      </c>
      <c r="E89" s="3">
        <v>1129</v>
      </c>
      <c r="F89" s="3">
        <v>0</v>
      </c>
      <c r="G89" s="3">
        <f>VLOOKUP(C89,Codex!$A$1:$B$100,2,0)</f>
        <v>0</v>
      </c>
    </row>
    <row r="90" spans="1:7" x14ac:dyDescent="0.25">
      <c r="A90" t="s">
        <v>112</v>
      </c>
      <c r="B90" t="s">
        <v>2</v>
      </c>
      <c r="C90" t="s">
        <v>95</v>
      </c>
      <c r="D90" t="s">
        <v>203</v>
      </c>
      <c r="E90" s="3">
        <v>1204</v>
      </c>
      <c r="F90" s="3">
        <v>0</v>
      </c>
      <c r="G90" s="3">
        <f>VLOOKUP(C90,Codex!$A$1:$B$100,2,0)</f>
        <v>0</v>
      </c>
    </row>
    <row r="91" spans="1:7" x14ac:dyDescent="0.25">
      <c r="A91" t="s">
        <v>118</v>
      </c>
      <c r="B91" t="s">
        <v>2</v>
      </c>
      <c r="C91" t="s">
        <v>68</v>
      </c>
      <c r="D91" t="s">
        <v>204</v>
      </c>
      <c r="E91" s="3">
        <v>803</v>
      </c>
      <c r="F91" s="3">
        <v>0</v>
      </c>
      <c r="G91" s="3">
        <f>VLOOKUP(C91,Codex!$A$1:$B$100,2,0)</f>
        <v>0</v>
      </c>
    </row>
    <row r="92" spans="1:7" x14ac:dyDescent="0.25">
      <c r="A92" t="s">
        <v>105</v>
      </c>
      <c r="B92" t="s">
        <v>2</v>
      </c>
      <c r="C92" t="s">
        <v>81</v>
      </c>
      <c r="D92" t="s">
        <v>205</v>
      </c>
      <c r="E92" s="3">
        <v>691</v>
      </c>
      <c r="F92" s="3">
        <v>0</v>
      </c>
      <c r="G92" s="3">
        <f>VLOOKUP(C92,Codex!$A$1:$B$100,2,0)</f>
        <v>0</v>
      </c>
    </row>
    <row r="93" spans="1:7" x14ac:dyDescent="0.25">
      <c r="A93" t="s">
        <v>112</v>
      </c>
      <c r="B93" t="s">
        <v>2</v>
      </c>
      <c r="C93" t="s">
        <v>40</v>
      </c>
      <c r="D93" t="s">
        <v>206</v>
      </c>
      <c r="E93" s="3">
        <v>2217</v>
      </c>
      <c r="F93" s="3">
        <v>0</v>
      </c>
      <c r="G93" s="3">
        <f>VLOOKUP(C93,Codex!$A$1:$B$100,2,0)</f>
        <v>0</v>
      </c>
    </row>
    <row r="94" spans="1:7" x14ac:dyDescent="0.25">
      <c r="A94" t="s">
        <v>110</v>
      </c>
      <c r="B94" t="s">
        <v>2</v>
      </c>
      <c r="C94" t="s">
        <v>89</v>
      </c>
      <c r="D94" t="s">
        <v>207</v>
      </c>
      <c r="E94" s="3">
        <v>1081</v>
      </c>
      <c r="F94" s="3">
        <v>0</v>
      </c>
      <c r="G94" s="3">
        <f>VLOOKUP(C94,Codex!$A$1:$B$100,2,0)</f>
        <v>0</v>
      </c>
    </row>
    <row r="95" spans="1:7" x14ac:dyDescent="0.25">
      <c r="A95" t="s">
        <v>121</v>
      </c>
      <c r="B95" t="s">
        <v>2</v>
      </c>
      <c r="C95" t="s">
        <v>56</v>
      </c>
      <c r="D95" t="s">
        <v>208</v>
      </c>
      <c r="E95" s="3">
        <v>6568</v>
      </c>
      <c r="F95" s="3">
        <v>1</v>
      </c>
      <c r="G95" s="3">
        <f>VLOOKUP(C95,Codex!$A$1:$B$100,2,0)</f>
        <v>1</v>
      </c>
    </row>
    <row r="96" spans="1:7" x14ac:dyDescent="0.25">
      <c r="A96" t="s">
        <v>148</v>
      </c>
      <c r="B96" t="s">
        <v>2</v>
      </c>
      <c r="C96" t="s">
        <v>87</v>
      </c>
      <c r="D96" t="s">
        <v>209</v>
      </c>
      <c r="E96" s="3">
        <v>4258</v>
      </c>
      <c r="F96" s="3">
        <v>1</v>
      </c>
      <c r="G96" s="3">
        <f>VLOOKUP(C96,Codex!$A$1:$B$100,2,0)</f>
        <v>1</v>
      </c>
    </row>
    <row r="97" spans="1:7" x14ac:dyDescent="0.25">
      <c r="A97" t="s">
        <v>112</v>
      </c>
      <c r="B97" t="s">
        <v>2</v>
      </c>
      <c r="C97" t="s">
        <v>45</v>
      </c>
      <c r="D97" t="s">
        <v>210</v>
      </c>
      <c r="E97" s="3">
        <v>1093</v>
      </c>
      <c r="F97" s="3">
        <v>0</v>
      </c>
      <c r="G97" s="3">
        <f>VLOOKUP(C97,Codex!$A$1:$B$100,2,0)</f>
        <v>0</v>
      </c>
    </row>
    <row r="98" spans="1:7" x14ac:dyDescent="0.25">
      <c r="A98" t="s">
        <v>112</v>
      </c>
      <c r="B98" t="s">
        <v>2</v>
      </c>
      <c r="C98" t="s">
        <v>48</v>
      </c>
      <c r="D98" t="s">
        <v>211</v>
      </c>
      <c r="E98" s="3">
        <v>2108</v>
      </c>
      <c r="F98" s="3">
        <v>0</v>
      </c>
      <c r="G98" s="3">
        <f>VLOOKUP(C98,Codex!$A$1:$B$100,2,0)</f>
        <v>1</v>
      </c>
    </row>
    <row r="99" spans="1:7" x14ac:dyDescent="0.25">
      <c r="A99" t="s">
        <v>112</v>
      </c>
      <c r="B99" t="s">
        <v>2</v>
      </c>
      <c r="C99" t="s">
        <v>46</v>
      </c>
      <c r="D99" t="s">
        <v>212</v>
      </c>
      <c r="E99" s="3">
        <v>1048</v>
      </c>
      <c r="F99" s="3">
        <v>0</v>
      </c>
      <c r="G99" s="3">
        <f>VLOOKUP(C99,Codex!$A$1:$B$100,2,0)</f>
        <v>0</v>
      </c>
    </row>
    <row r="100" spans="1:7" x14ac:dyDescent="0.25">
      <c r="A100" t="s">
        <v>121</v>
      </c>
      <c r="B100" t="s">
        <v>2</v>
      </c>
      <c r="C100" t="s">
        <v>57</v>
      </c>
      <c r="D100" t="s">
        <v>213</v>
      </c>
      <c r="E100" s="3">
        <v>4104</v>
      </c>
      <c r="F100" s="3">
        <v>1</v>
      </c>
      <c r="G100" s="3">
        <f>VLOOKUP(C100,Codex!$A$1:$B$100,2,0)</f>
        <v>0</v>
      </c>
    </row>
    <row r="101" spans="1:7" x14ac:dyDescent="0.25">
      <c r="A101" t="s">
        <v>110</v>
      </c>
      <c r="B101" t="s">
        <v>2</v>
      </c>
      <c r="C101" t="s">
        <v>20</v>
      </c>
      <c r="D101" t="s">
        <v>214</v>
      </c>
      <c r="E101" s="3">
        <v>2507</v>
      </c>
      <c r="F101" s="3">
        <v>0</v>
      </c>
      <c r="G101" s="3">
        <f>VLOOKUP(C101,Codex!$A$1:$B$100,2,0)</f>
        <v>0</v>
      </c>
    </row>
  </sheetData>
  <autoFilter ref="A1:G1" xr:uid="{89F89906-325E-45A3-964D-C321123BF65D}"/>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E1E4E-2EE3-43E1-86D3-9B61ADF1AABE}">
  <dimension ref="A1:C100"/>
  <sheetViews>
    <sheetView topLeftCell="A99" workbookViewId="0"/>
  </sheetViews>
  <sheetFormatPr defaultRowHeight="15" x14ac:dyDescent="0.25"/>
  <cols>
    <col min="1" max="1" width="58.28515625" bestFit="1" customWidth="1"/>
    <col min="2" max="2" width="9.7109375" bestFit="1" customWidth="1"/>
    <col min="3" max="3" width="95.28515625" customWidth="1"/>
  </cols>
  <sheetData>
    <row r="1" spans="1:3" ht="45" x14ac:dyDescent="0.25">
      <c r="A1" t="s">
        <v>101</v>
      </c>
      <c r="B1" s="3">
        <v>0</v>
      </c>
      <c r="C1" s="4" t="s">
        <v>235</v>
      </c>
    </row>
    <row r="2" spans="1:3" ht="90" x14ac:dyDescent="0.25">
      <c r="A2" t="s">
        <v>78</v>
      </c>
      <c r="B2" s="3">
        <v>0</v>
      </c>
      <c r="C2" s="4" t="s">
        <v>236</v>
      </c>
    </row>
    <row r="3" spans="1:3" ht="90" x14ac:dyDescent="0.25">
      <c r="A3" t="s">
        <v>82</v>
      </c>
      <c r="B3" s="3">
        <v>0</v>
      </c>
      <c r="C3" s="4" t="s">
        <v>237</v>
      </c>
    </row>
    <row r="4" spans="1:3" ht="135" x14ac:dyDescent="0.25">
      <c r="A4" t="s">
        <v>14</v>
      </c>
      <c r="B4" s="3">
        <v>0</v>
      </c>
      <c r="C4" s="4" t="s">
        <v>238</v>
      </c>
    </row>
    <row r="5" spans="1:3" x14ac:dyDescent="0.25">
      <c r="A5" t="s">
        <v>96</v>
      </c>
      <c r="B5" s="3">
        <v>0</v>
      </c>
      <c r="C5" s="4" t="s">
        <v>239</v>
      </c>
    </row>
    <row r="6" spans="1:3" ht="120" x14ac:dyDescent="0.25">
      <c r="A6" t="s">
        <v>53</v>
      </c>
      <c r="B6" s="3">
        <v>0</v>
      </c>
      <c r="C6" s="4" t="s">
        <v>240</v>
      </c>
    </row>
    <row r="7" spans="1:3" ht="240" x14ac:dyDescent="0.25">
      <c r="A7" t="s">
        <v>38</v>
      </c>
      <c r="B7" s="3">
        <v>0</v>
      </c>
      <c r="C7" s="4" t="s">
        <v>241</v>
      </c>
    </row>
    <row r="8" spans="1:3" ht="135" x14ac:dyDescent="0.25">
      <c r="A8" t="s">
        <v>11</v>
      </c>
      <c r="B8" s="3">
        <v>0</v>
      </c>
      <c r="C8" s="4" t="s">
        <v>242</v>
      </c>
    </row>
    <row r="9" spans="1:3" ht="90" x14ac:dyDescent="0.25">
      <c r="A9" t="s">
        <v>47</v>
      </c>
      <c r="B9" s="3">
        <v>0</v>
      </c>
      <c r="C9" s="4" t="s">
        <v>243</v>
      </c>
    </row>
    <row r="10" spans="1:3" ht="90" x14ac:dyDescent="0.25">
      <c r="A10" t="s">
        <v>77</v>
      </c>
      <c r="B10" s="3">
        <v>0</v>
      </c>
      <c r="C10" s="4" t="s">
        <v>244</v>
      </c>
    </row>
    <row r="11" spans="1:3" ht="90" x14ac:dyDescent="0.25">
      <c r="A11" t="s">
        <v>54</v>
      </c>
      <c r="B11" s="3">
        <v>0</v>
      </c>
      <c r="C11" s="4" t="s">
        <v>245</v>
      </c>
    </row>
    <row r="12" spans="1:3" ht="90" x14ac:dyDescent="0.25">
      <c r="A12" t="s">
        <v>60</v>
      </c>
      <c r="B12" s="3">
        <v>0</v>
      </c>
      <c r="C12" s="4" t="s">
        <v>246</v>
      </c>
    </row>
    <row r="13" spans="1:3" ht="90" x14ac:dyDescent="0.25">
      <c r="A13" t="s">
        <v>71</v>
      </c>
      <c r="B13" s="3">
        <v>0</v>
      </c>
      <c r="C13" s="4" t="s">
        <v>247</v>
      </c>
    </row>
    <row r="14" spans="1:3" ht="90" x14ac:dyDescent="0.25">
      <c r="A14" t="s">
        <v>49</v>
      </c>
      <c r="B14" s="3">
        <v>0</v>
      </c>
      <c r="C14" s="4" t="s">
        <v>248</v>
      </c>
    </row>
    <row r="15" spans="1:3" ht="45" x14ac:dyDescent="0.25">
      <c r="A15" t="s">
        <v>22</v>
      </c>
      <c r="B15" s="3">
        <v>0</v>
      </c>
      <c r="C15" s="4" t="s">
        <v>249</v>
      </c>
    </row>
    <row r="16" spans="1:3" ht="105" x14ac:dyDescent="0.25">
      <c r="A16" t="s">
        <v>8</v>
      </c>
      <c r="B16" s="3">
        <v>0</v>
      </c>
      <c r="C16" s="4" t="s">
        <v>250</v>
      </c>
    </row>
    <row r="17" spans="1:3" ht="75" x14ac:dyDescent="0.25">
      <c r="A17" t="s">
        <v>97</v>
      </c>
      <c r="B17" s="3">
        <v>0</v>
      </c>
      <c r="C17" s="4" t="s">
        <v>251</v>
      </c>
    </row>
    <row r="18" spans="1:3" ht="120" x14ac:dyDescent="0.25">
      <c r="A18" t="s">
        <v>59</v>
      </c>
      <c r="B18" s="3">
        <v>1</v>
      </c>
      <c r="C18" s="4" t="s">
        <v>216</v>
      </c>
    </row>
    <row r="19" spans="1:3" ht="90" x14ac:dyDescent="0.25">
      <c r="A19" t="s">
        <v>80</v>
      </c>
      <c r="B19" s="3">
        <v>0</v>
      </c>
      <c r="C19" s="4" t="s">
        <v>252</v>
      </c>
    </row>
    <row r="20" spans="1:3" ht="90" x14ac:dyDescent="0.25">
      <c r="A20" t="s">
        <v>41</v>
      </c>
      <c r="B20" s="3">
        <v>1</v>
      </c>
      <c r="C20" s="4" t="s">
        <v>217</v>
      </c>
    </row>
    <row r="21" spans="1:3" ht="120" x14ac:dyDescent="0.25">
      <c r="A21" t="s">
        <v>94</v>
      </c>
      <c r="B21" s="3">
        <v>0</v>
      </c>
      <c r="C21" s="4" t="s">
        <v>253</v>
      </c>
    </row>
    <row r="22" spans="1:3" ht="45" x14ac:dyDescent="0.25">
      <c r="A22" t="s">
        <v>98</v>
      </c>
      <c r="B22" s="3">
        <v>0</v>
      </c>
      <c r="C22" s="4" t="s">
        <v>254</v>
      </c>
    </row>
    <row r="23" spans="1:3" ht="90" x14ac:dyDescent="0.25">
      <c r="A23" t="s">
        <v>6</v>
      </c>
      <c r="B23" s="3">
        <v>0</v>
      </c>
      <c r="C23" s="4" t="s">
        <v>255</v>
      </c>
    </row>
    <row r="24" spans="1:3" ht="45" x14ac:dyDescent="0.25">
      <c r="A24" t="s">
        <v>75</v>
      </c>
      <c r="B24" s="3">
        <v>0</v>
      </c>
      <c r="C24" s="4" t="s">
        <v>256</v>
      </c>
    </row>
    <row r="25" spans="1:3" ht="90" x14ac:dyDescent="0.25">
      <c r="A25" t="s">
        <v>15</v>
      </c>
      <c r="B25" s="3">
        <v>0</v>
      </c>
      <c r="C25" s="4" t="s">
        <v>257</v>
      </c>
    </row>
    <row r="26" spans="1:3" ht="120" x14ac:dyDescent="0.25">
      <c r="A26" t="s">
        <v>25</v>
      </c>
      <c r="B26" s="3">
        <v>1</v>
      </c>
      <c r="C26" s="4" t="s">
        <v>218</v>
      </c>
    </row>
    <row r="27" spans="1:3" ht="60" x14ac:dyDescent="0.25">
      <c r="A27" t="s">
        <v>10</v>
      </c>
      <c r="B27" s="3">
        <v>0</v>
      </c>
      <c r="C27" s="4" t="s">
        <v>258</v>
      </c>
    </row>
    <row r="28" spans="1:3" ht="60" x14ac:dyDescent="0.25">
      <c r="A28" t="s">
        <v>5</v>
      </c>
      <c r="B28" s="3">
        <v>0</v>
      </c>
      <c r="C28" s="4" t="s">
        <v>259</v>
      </c>
    </row>
    <row r="29" spans="1:3" ht="150" x14ac:dyDescent="0.25">
      <c r="A29" t="s">
        <v>100</v>
      </c>
      <c r="B29" s="3">
        <v>1</v>
      </c>
      <c r="C29" s="4" t="s">
        <v>219</v>
      </c>
    </row>
    <row r="30" spans="1:3" ht="105" x14ac:dyDescent="0.25">
      <c r="A30" t="s">
        <v>83</v>
      </c>
      <c r="B30" s="3">
        <v>0</v>
      </c>
      <c r="C30" s="4" t="s">
        <v>260</v>
      </c>
    </row>
    <row r="31" spans="1:3" ht="60" x14ac:dyDescent="0.25">
      <c r="A31" t="s">
        <v>27</v>
      </c>
      <c r="B31" s="3">
        <v>0</v>
      </c>
      <c r="C31" s="4" t="s">
        <v>261</v>
      </c>
    </row>
    <row r="32" spans="1:3" x14ac:dyDescent="0.25">
      <c r="A32" t="s">
        <v>4</v>
      </c>
      <c r="B32" s="3">
        <v>0</v>
      </c>
      <c r="C32" s="4" t="s">
        <v>262</v>
      </c>
    </row>
    <row r="33" spans="1:3" ht="60" x14ac:dyDescent="0.25">
      <c r="A33" t="s">
        <v>51</v>
      </c>
      <c r="B33" s="3">
        <v>0</v>
      </c>
      <c r="C33" s="4" t="s">
        <v>263</v>
      </c>
    </row>
    <row r="34" spans="1:3" ht="75" x14ac:dyDescent="0.25">
      <c r="A34" t="s">
        <v>70</v>
      </c>
      <c r="B34" s="3">
        <v>0</v>
      </c>
      <c r="C34" s="4" t="s">
        <v>264</v>
      </c>
    </row>
    <row r="35" spans="1:3" ht="75" x14ac:dyDescent="0.25">
      <c r="A35" t="s">
        <v>66</v>
      </c>
      <c r="B35" s="3">
        <v>0</v>
      </c>
      <c r="C35" s="4" t="s">
        <v>265</v>
      </c>
    </row>
    <row r="36" spans="1:3" ht="150" x14ac:dyDescent="0.25">
      <c r="A36" t="s">
        <v>23</v>
      </c>
      <c r="B36" s="3">
        <v>1</v>
      </c>
      <c r="C36" s="4" t="s">
        <v>220</v>
      </c>
    </row>
    <row r="37" spans="1:3" ht="90" x14ac:dyDescent="0.25">
      <c r="A37" t="s">
        <v>86</v>
      </c>
      <c r="B37" s="3">
        <v>0</v>
      </c>
      <c r="C37" s="4" t="s">
        <v>266</v>
      </c>
    </row>
    <row r="38" spans="1:3" ht="180" x14ac:dyDescent="0.25">
      <c r="A38" t="s">
        <v>24</v>
      </c>
      <c r="B38" s="3">
        <v>1</v>
      </c>
      <c r="C38" s="4" t="s">
        <v>221</v>
      </c>
    </row>
    <row r="39" spans="1:3" ht="105" x14ac:dyDescent="0.25">
      <c r="A39" t="s">
        <v>30</v>
      </c>
      <c r="B39" s="3">
        <v>0</v>
      </c>
      <c r="C39" s="4" t="s">
        <v>267</v>
      </c>
    </row>
    <row r="40" spans="1:3" x14ac:dyDescent="0.25">
      <c r="A40" t="s">
        <v>67</v>
      </c>
      <c r="B40" s="3">
        <v>0</v>
      </c>
      <c r="C40" s="4" t="s">
        <v>268</v>
      </c>
    </row>
    <row r="41" spans="1:3" ht="105" x14ac:dyDescent="0.25">
      <c r="A41" t="s">
        <v>64</v>
      </c>
      <c r="B41" s="3">
        <v>0</v>
      </c>
      <c r="C41" s="4" t="s">
        <v>269</v>
      </c>
    </row>
    <row r="42" spans="1:3" ht="30" x14ac:dyDescent="0.25">
      <c r="A42" t="s">
        <v>34</v>
      </c>
      <c r="B42" s="3">
        <v>0</v>
      </c>
      <c r="C42" s="4" t="s">
        <v>270</v>
      </c>
    </row>
    <row r="43" spans="1:3" ht="105" x14ac:dyDescent="0.25">
      <c r="A43" t="s">
        <v>18</v>
      </c>
      <c r="B43" s="3">
        <v>0</v>
      </c>
      <c r="C43" s="4" t="s">
        <v>271</v>
      </c>
    </row>
    <row r="44" spans="1:3" ht="75" x14ac:dyDescent="0.25">
      <c r="A44" t="s">
        <v>9</v>
      </c>
      <c r="B44" s="3">
        <v>0</v>
      </c>
      <c r="C44" s="4" t="s">
        <v>272</v>
      </c>
    </row>
    <row r="45" spans="1:3" ht="90" x14ac:dyDescent="0.25">
      <c r="A45" t="s">
        <v>39</v>
      </c>
      <c r="B45" s="3">
        <v>0</v>
      </c>
      <c r="C45" s="4" t="s">
        <v>273</v>
      </c>
    </row>
    <row r="46" spans="1:3" ht="135" x14ac:dyDescent="0.25">
      <c r="A46" t="s">
        <v>37</v>
      </c>
      <c r="B46" s="3">
        <v>1</v>
      </c>
      <c r="C46" s="4" t="s">
        <v>222</v>
      </c>
    </row>
    <row r="47" spans="1:3" ht="90" x14ac:dyDescent="0.25">
      <c r="A47" t="s">
        <v>44</v>
      </c>
      <c r="B47" s="3">
        <v>0</v>
      </c>
      <c r="C47" s="4" t="s">
        <v>274</v>
      </c>
    </row>
    <row r="48" spans="1:3" x14ac:dyDescent="0.25">
      <c r="A48" t="s">
        <v>55</v>
      </c>
      <c r="B48" s="3">
        <v>0</v>
      </c>
      <c r="C48" s="4" t="s">
        <v>275</v>
      </c>
    </row>
    <row r="49" spans="1:3" x14ac:dyDescent="0.25">
      <c r="A49" t="s">
        <v>65</v>
      </c>
      <c r="B49" s="3">
        <v>0</v>
      </c>
      <c r="C49" s="4" t="s">
        <v>276</v>
      </c>
    </row>
    <row r="50" spans="1:3" ht="75" x14ac:dyDescent="0.25">
      <c r="A50" t="s">
        <v>19</v>
      </c>
      <c r="B50" s="3">
        <v>0</v>
      </c>
      <c r="C50" s="4" t="s">
        <v>277</v>
      </c>
    </row>
    <row r="51" spans="1:3" ht="75" x14ac:dyDescent="0.25">
      <c r="A51" t="s">
        <v>36</v>
      </c>
      <c r="B51" s="3">
        <v>0</v>
      </c>
      <c r="C51" s="4" t="s">
        <v>278</v>
      </c>
    </row>
    <row r="52" spans="1:3" ht="90" x14ac:dyDescent="0.25">
      <c r="A52" t="s">
        <v>84</v>
      </c>
      <c r="B52" s="3">
        <v>0</v>
      </c>
      <c r="C52" s="4" t="s">
        <v>279</v>
      </c>
    </row>
    <row r="53" spans="1:3" ht="60" x14ac:dyDescent="0.25">
      <c r="A53" t="s">
        <v>99</v>
      </c>
      <c r="B53" s="3">
        <v>0</v>
      </c>
      <c r="C53" s="4" t="s">
        <v>280</v>
      </c>
    </row>
    <row r="54" spans="1:3" ht="120" x14ac:dyDescent="0.25">
      <c r="A54" t="s">
        <v>76</v>
      </c>
      <c r="B54" s="3">
        <v>0</v>
      </c>
      <c r="C54" s="4" t="s">
        <v>281</v>
      </c>
    </row>
    <row r="55" spans="1:3" ht="45" x14ac:dyDescent="0.25">
      <c r="A55" t="s">
        <v>168</v>
      </c>
      <c r="B55" s="3">
        <v>0</v>
      </c>
      <c r="C55" s="4" t="s">
        <v>282</v>
      </c>
    </row>
    <row r="56" spans="1:3" ht="150" x14ac:dyDescent="0.25">
      <c r="A56" t="s">
        <v>42</v>
      </c>
      <c r="B56" s="3">
        <v>1</v>
      </c>
      <c r="C56" s="4" t="s">
        <v>223</v>
      </c>
    </row>
    <row r="57" spans="1:3" ht="60" x14ac:dyDescent="0.25">
      <c r="A57" t="s">
        <v>16</v>
      </c>
      <c r="B57" s="3">
        <v>1</v>
      </c>
      <c r="C57" s="4" t="s">
        <v>224</v>
      </c>
    </row>
    <row r="58" spans="1:3" ht="90" x14ac:dyDescent="0.25">
      <c r="A58" t="s">
        <v>88</v>
      </c>
      <c r="B58" s="3">
        <v>0</v>
      </c>
      <c r="C58" s="4" t="s">
        <v>283</v>
      </c>
    </row>
    <row r="59" spans="1:3" ht="105" x14ac:dyDescent="0.25">
      <c r="A59" t="s">
        <v>31</v>
      </c>
      <c r="B59" s="3">
        <v>0</v>
      </c>
      <c r="C59" s="4" t="s">
        <v>284</v>
      </c>
    </row>
    <row r="60" spans="1:3" ht="60" x14ac:dyDescent="0.25">
      <c r="A60" t="s">
        <v>7</v>
      </c>
      <c r="B60" s="3">
        <v>0</v>
      </c>
      <c r="C60" s="4" t="s">
        <v>285</v>
      </c>
    </row>
    <row r="61" spans="1:3" ht="75" x14ac:dyDescent="0.25">
      <c r="A61" t="s">
        <v>85</v>
      </c>
      <c r="B61" s="3">
        <v>0</v>
      </c>
      <c r="C61" s="4" t="s">
        <v>286</v>
      </c>
    </row>
    <row r="62" spans="1:3" ht="120" x14ac:dyDescent="0.25">
      <c r="A62" t="s">
        <v>61</v>
      </c>
      <c r="B62" s="3">
        <v>0</v>
      </c>
      <c r="C62" s="4" t="s">
        <v>287</v>
      </c>
    </row>
    <row r="63" spans="1:3" x14ac:dyDescent="0.25">
      <c r="A63" t="s">
        <v>50</v>
      </c>
      <c r="B63" s="3">
        <v>0</v>
      </c>
      <c r="C63" s="4" t="s">
        <v>288</v>
      </c>
    </row>
    <row r="64" spans="1:3" ht="105" x14ac:dyDescent="0.25">
      <c r="A64" t="s">
        <v>13</v>
      </c>
      <c r="B64" s="3">
        <v>1</v>
      </c>
      <c r="C64" s="4" t="s">
        <v>225</v>
      </c>
    </row>
    <row r="65" spans="1:3" ht="120" x14ac:dyDescent="0.25">
      <c r="A65" t="s">
        <v>21</v>
      </c>
      <c r="B65" s="3">
        <v>0</v>
      </c>
      <c r="C65" s="4" t="s">
        <v>289</v>
      </c>
    </row>
    <row r="66" spans="1:3" ht="75" x14ac:dyDescent="0.25">
      <c r="A66" t="s">
        <v>63</v>
      </c>
      <c r="B66" s="3">
        <v>0</v>
      </c>
      <c r="C66" s="4" t="s">
        <v>290</v>
      </c>
    </row>
    <row r="67" spans="1:3" ht="45" x14ac:dyDescent="0.25">
      <c r="A67" t="s">
        <v>79</v>
      </c>
      <c r="B67" s="3">
        <v>0</v>
      </c>
      <c r="C67" s="4" t="s">
        <v>291</v>
      </c>
    </row>
    <row r="68" spans="1:3" x14ac:dyDescent="0.25">
      <c r="A68" t="s">
        <v>52</v>
      </c>
      <c r="B68" s="3">
        <v>0</v>
      </c>
      <c r="C68" s="4" t="s">
        <v>292</v>
      </c>
    </row>
    <row r="69" spans="1:3" ht="120" x14ac:dyDescent="0.25">
      <c r="A69" t="s">
        <v>29</v>
      </c>
      <c r="B69" s="3">
        <v>0</v>
      </c>
      <c r="C69" s="4" t="s">
        <v>293</v>
      </c>
    </row>
    <row r="70" spans="1:3" ht="75" x14ac:dyDescent="0.25">
      <c r="A70" t="s">
        <v>3</v>
      </c>
      <c r="B70" s="3">
        <v>1</v>
      </c>
      <c r="C70" s="4" t="s">
        <v>226</v>
      </c>
    </row>
    <row r="71" spans="1:3" ht="105" x14ac:dyDescent="0.25">
      <c r="A71" t="s">
        <v>58</v>
      </c>
      <c r="B71" s="3">
        <v>0</v>
      </c>
      <c r="C71" s="4" t="s">
        <v>294</v>
      </c>
    </row>
    <row r="72" spans="1:3" ht="45" x14ac:dyDescent="0.25">
      <c r="A72" t="s">
        <v>35</v>
      </c>
      <c r="B72" s="3">
        <v>0</v>
      </c>
      <c r="C72" s="4" t="s">
        <v>295</v>
      </c>
    </row>
    <row r="73" spans="1:3" ht="45" x14ac:dyDescent="0.25">
      <c r="A73" t="s">
        <v>91</v>
      </c>
      <c r="B73" s="3">
        <v>1</v>
      </c>
      <c r="C73" s="4" t="s">
        <v>227</v>
      </c>
    </row>
    <row r="74" spans="1:3" ht="30" x14ac:dyDescent="0.25">
      <c r="A74" t="s">
        <v>92</v>
      </c>
      <c r="B74" s="3">
        <v>0</v>
      </c>
      <c r="C74" s="4" t="s">
        <v>296</v>
      </c>
    </row>
    <row r="75" spans="1:3" ht="75" x14ac:dyDescent="0.25">
      <c r="A75" t="s">
        <v>69</v>
      </c>
      <c r="B75" s="3">
        <v>0</v>
      </c>
      <c r="C75" s="4" t="s">
        <v>297</v>
      </c>
    </row>
    <row r="76" spans="1:3" ht="90" x14ac:dyDescent="0.25">
      <c r="A76" t="s">
        <v>43</v>
      </c>
      <c r="B76" s="3">
        <v>0</v>
      </c>
      <c r="C76" s="4" t="s">
        <v>298</v>
      </c>
    </row>
    <row r="77" spans="1:3" ht="90" x14ac:dyDescent="0.25">
      <c r="A77" t="s">
        <v>93</v>
      </c>
      <c r="B77" s="3">
        <v>0</v>
      </c>
      <c r="C77" s="4" t="s">
        <v>299</v>
      </c>
    </row>
    <row r="78" spans="1:3" ht="105" x14ac:dyDescent="0.25">
      <c r="A78" t="s">
        <v>33</v>
      </c>
      <c r="B78" s="3">
        <v>1</v>
      </c>
      <c r="C78" s="4" t="s">
        <v>228</v>
      </c>
    </row>
    <row r="79" spans="1:3" ht="30" x14ac:dyDescent="0.25">
      <c r="A79" t="s">
        <v>73</v>
      </c>
      <c r="B79" s="3">
        <v>0</v>
      </c>
      <c r="C79" s="4" t="s">
        <v>300</v>
      </c>
    </row>
    <row r="80" spans="1:3" ht="90" x14ac:dyDescent="0.25">
      <c r="A80" t="s">
        <v>62</v>
      </c>
      <c r="B80" s="3">
        <v>0</v>
      </c>
      <c r="C80" s="4" t="s">
        <v>301</v>
      </c>
    </row>
    <row r="81" spans="1:3" ht="60" x14ac:dyDescent="0.25">
      <c r="A81" t="s">
        <v>72</v>
      </c>
      <c r="B81" s="3">
        <v>0</v>
      </c>
      <c r="C81" s="4" t="s">
        <v>302</v>
      </c>
    </row>
    <row r="82" spans="1:3" ht="75" x14ac:dyDescent="0.25">
      <c r="A82" t="s">
        <v>74</v>
      </c>
      <c r="B82" s="3">
        <v>0</v>
      </c>
      <c r="C82" s="4" t="s">
        <v>303</v>
      </c>
    </row>
    <row r="83" spans="1:3" ht="90" x14ac:dyDescent="0.25">
      <c r="A83" t="s">
        <v>12</v>
      </c>
      <c r="B83" s="3">
        <v>1</v>
      </c>
      <c r="C83" s="4" t="s">
        <v>229</v>
      </c>
    </row>
    <row r="84" spans="1:3" ht="90" x14ac:dyDescent="0.25">
      <c r="A84" t="s">
        <v>90</v>
      </c>
      <c r="B84" s="3">
        <v>0</v>
      </c>
      <c r="C84" s="4" t="s">
        <v>304</v>
      </c>
    </row>
    <row r="85" spans="1:3" ht="75" x14ac:dyDescent="0.25">
      <c r="A85" t="s">
        <v>17</v>
      </c>
      <c r="B85" s="3">
        <v>0</v>
      </c>
      <c r="C85" s="4" t="s">
        <v>305</v>
      </c>
    </row>
    <row r="86" spans="1:3" ht="75" x14ac:dyDescent="0.25">
      <c r="A86" t="s">
        <v>26</v>
      </c>
      <c r="B86" s="3">
        <v>0</v>
      </c>
      <c r="C86" s="4" t="s">
        <v>306</v>
      </c>
    </row>
    <row r="87" spans="1:3" ht="150" x14ac:dyDescent="0.25">
      <c r="A87" t="s">
        <v>32</v>
      </c>
      <c r="B87" s="3">
        <v>1</v>
      </c>
      <c r="C87" s="4" t="s">
        <v>230</v>
      </c>
    </row>
    <row r="88" spans="1:3" ht="90" x14ac:dyDescent="0.25">
      <c r="A88" t="s">
        <v>28</v>
      </c>
      <c r="B88" s="3">
        <v>0</v>
      </c>
      <c r="C88" s="4" t="s">
        <v>307</v>
      </c>
    </row>
    <row r="89" spans="1:3" ht="120" x14ac:dyDescent="0.25">
      <c r="A89" t="s">
        <v>95</v>
      </c>
      <c r="B89" s="3">
        <v>0</v>
      </c>
      <c r="C89" s="4" t="s">
        <v>308</v>
      </c>
    </row>
    <row r="90" spans="1:3" ht="90" x14ac:dyDescent="0.25">
      <c r="A90" t="s">
        <v>68</v>
      </c>
      <c r="B90" s="3">
        <v>0</v>
      </c>
      <c r="C90" s="4" t="s">
        <v>309</v>
      </c>
    </row>
    <row r="91" spans="1:3" ht="90" x14ac:dyDescent="0.25">
      <c r="A91" t="s">
        <v>81</v>
      </c>
      <c r="B91" s="3">
        <v>0</v>
      </c>
      <c r="C91" s="4" t="s">
        <v>310</v>
      </c>
    </row>
    <row r="92" spans="1:3" ht="90" x14ac:dyDescent="0.25">
      <c r="A92" t="s">
        <v>40</v>
      </c>
      <c r="B92" s="3">
        <v>0</v>
      </c>
      <c r="C92" s="4" t="s">
        <v>311</v>
      </c>
    </row>
    <row r="93" spans="1:3" ht="90" x14ac:dyDescent="0.25">
      <c r="A93" t="s">
        <v>89</v>
      </c>
      <c r="B93" s="3">
        <v>0</v>
      </c>
      <c r="C93" s="4" t="s">
        <v>312</v>
      </c>
    </row>
    <row r="94" spans="1:3" ht="30" x14ac:dyDescent="0.25">
      <c r="A94" t="s">
        <v>56</v>
      </c>
      <c r="B94" s="3">
        <v>1</v>
      </c>
      <c r="C94" s="4" t="s">
        <v>231</v>
      </c>
    </row>
    <row r="95" spans="1:3" ht="45" x14ac:dyDescent="0.25">
      <c r="A95" t="s">
        <v>87</v>
      </c>
      <c r="B95" s="3">
        <v>1</v>
      </c>
      <c r="C95" s="4" t="s">
        <v>232</v>
      </c>
    </row>
    <row r="96" spans="1:3" ht="60" x14ac:dyDescent="0.25">
      <c r="A96" t="s">
        <v>45</v>
      </c>
      <c r="B96" s="3">
        <v>0</v>
      </c>
      <c r="C96" s="4" t="s">
        <v>313</v>
      </c>
    </row>
    <row r="97" spans="1:3" ht="75" x14ac:dyDescent="0.25">
      <c r="A97" t="s">
        <v>48</v>
      </c>
      <c r="B97" s="3">
        <v>1</v>
      </c>
      <c r="C97" s="4" t="s">
        <v>233</v>
      </c>
    </row>
    <row r="98" spans="1:3" ht="120" x14ac:dyDescent="0.25">
      <c r="A98" t="s">
        <v>46</v>
      </c>
      <c r="B98" s="3">
        <v>0</v>
      </c>
      <c r="C98" s="4" t="s">
        <v>314</v>
      </c>
    </row>
    <row r="99" spans="1:3" ht="105" x14ac:dyDescent="0.25">
      <c r="A99" t="s">
        <v>57</v>
      </c>
      <c r="B99" s="3">
        <v>0</v>
      </c>
      <c r="C99" s="4" t="s">
        <v>315</v>
      </c>
    </row>
    <row r="100" spans="1:3" ht="120" x14ac:dyDescent="0.25">
      <c r="A100" t="s">
        <v>20</v>
      </c>
      <c r="B100" s="3">
        <v>0</v>
      </c>
      <c r="C100" s="4" t="s">
        <v>316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Samples</vt:lpstr>
      <vt:lpstr>Codex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2026-03-02T16:38:58Z</dcterms:created>
  <dcterms:modified xsi:type="dcterms:W3CDTF">2026-05-29T13:21:52Z</dcterms:modified>
</cp:coreProperties>
</file>