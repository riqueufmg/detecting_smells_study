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housie\Desktop\results\rq4\"/>
    </mc:Choice>
  </mc:AlternateContent>
  <xr:revisionPtr revIDLastSave="0" documentId="13_ncr:1_{18025AA8-29D8-4587-A697-801612062DA4}" xr6:coauthVersionLast="47" xr6:coauthVersionMax="47" xr10:uidLastSave="{00000000-0000-0000-0000-000000000000}"/>
  <bookViews>
    <workbookView xWindow="-120" yWindow="-120" windowWidth="20730" windowHeight="11040" xr2:uid="{224DE752-32BA-41E5-87FE-F548AE47B642}"/>
  </bookViews>
  <sheets>
    <sheet name="samples" sheetId="1" r:id="rId1"/>
    <sheet name="codex" sheetId="6" r:id="rId2"/>
  </sheets>
  <definedNames>
    <definedName name="_xlnm._FilterDatabase" localSheetId="0" hidden="1">samples!$A$1:$I$361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4" i="1"/>
  <c r="L3" i="1"/>
  <c r="L2" i="1"/>
  <c r="L10" i="1" s="1"/>
  <c r="I3" i="1"/>
  <c r="I4" i="1"/>
  <c r="I5" i="1"/>
  <c r="I6" i="1"/>
  <c r="I7" i="1"/>
  <c r="I8" i="1"/>
  <c r="I9" i="1"/>
  <c r="I10" i="1"/>
  <c r="I11" i="1"/>
  <c r="I48" i="1"/>
  <c r="I64" i="1"/>
  <c r="I72" i="1"/>
  <c r="I112" i="1"/>
  <c r="I128" i="1"/>
  <c r="I136" i="1"/>
  <c r="I176" i="1"/>
  <c r="I192" i="1"/>
  <c r="I200" i="1"/>
  <c r="I240" i="1"/>
  <c r="I256" i="1"/>
  <c r="I264" i="1"/>
  <c r="I304" i="1"/>
  <c r="I320" i="1"/>
  <c r="I328" i="1"/>
  <c r="I2" i="1"/>
  <c r="E12" i="1"/>
  <c r="I12" i="1" s="1"/>
  <c r="E13" i="1"/>
  <c r="I13" i="1" s="1"/>
  <c r="E14" i="1"/>
  <c r="I14" i="1" s="1"/>
  <c r="E15" i="1"/>
  <c r="I15" i="1" s="1"/>
  <c r="E16" i="1"/>
  <c r="I16" i="1" s="1"/>
  <c r="E17" i="1"/>
  <c r="I17" i="1" s="1"/>
  <c r="E18" i="1"/>
  <c r="E19" i="1"/>
  <c r="I19" i="1" s="1"/>
  <c r="E20" i="1"/>
  <c r="I20" i="1" s="1"/>
  <c r="E21" i="1"/>
  <c r="I21" i="1" s="1"/>
  <c r="E22" i="1"/>
  <c r="I22" i="1" s="1"/>
  <c r="E23" i="1"/>
  <c r="I23" i="1" s="1"/>
  <c r="E24" i="1"/>
  <c r="I24" i="1" s="1"/>
  <c r="E25" i="1"/>
  <c r="I25" i="1" s="1"/>
  <c r="E26" i="1"/>
  <c r="I26" i="1" s="1"/>
  <c r="E27" i="1"/>
  <c r="I27" i="1" s="1"/>
  <c r="E28" i="1"/>
  <c r="I28" i="1" s="1"/>
  <c r="E29" i="1"/>
  <c r="I29" i="1" s="1"/>
  <c r="E30" i="1"/>
  <c r="I30" i="1" s="1"/>
  <c r="E31" i="1"/>
  <c r="I31" i="1" s="1"/>
  <c r="E32" i="1"/>
  <c r="I32" i="1" s="1"/>
  <c r="E33" i="1"/>
  <c r="I33" i="1" s="1"/>
  <c r="E34" i="1"/>
  <c r="I34" i="1" s="1"/>
  <c r="E35" i="1"/>
  <c r="I35" i="1" s="1"/>
  <c r="E36" i="1"/>
  <c r="I36" i="1" s="1"/>
  <c r="E37" i="1"/>
  <c r="I37" i="1" s="1"/>
  <c r="E38" i="1"/>
  <c r="I38" i="1" s="1"/>
  <c r="E39" i="1"/>
  <c r="I39" i="1" s="1"/>
  <c r="E40" i="1"/>
  <c r="I40" i="1" s="1"/>
  <c r="E41" i="1"/>
  <c r="I41" i="1" s="1"/>
  <c r="E42" i="1"/>
  <c r="I42" i="1" s="1"/>
  <c r="E43" i="1"/>
  <c r="I43" i="1" s="1"/>
  <c r="E44" i="1"/>
  <c r="I44" i="1" s="1"/>
  <c r="E45" i="1"/>
  <c r="I45" i="1" s="1"/>
  <c r="E46" i="1"/>
  <c r="I46" i="1" s="1"/>
  <c r="E47" i="1"/>
  <c r="I47" i="1" s="1"/>
  <c r="E48" i="1"/>
  <c r="E49" i="1"/>
  <c r="I49" i="1" s="1"/>
  <c r="E50" i="1"/>
  <c r="I50" i="1" s="1"/>
  <c r="E51" i="1"/>
  <c r="I51" i="1" s="1"/>
  <c r="E52" i="1"/>
  <c r="I52" i="1" s="1"/>
  <c r="E53" i="1"/>
  <c r="I53" i="1" s="1"/>
  <c r="E54" i="1"/>
  <c r="I54" i="1" s="1"/>
  <c r="E55" i="1"/>
  <c r="E56" i="1"/>
  <c r="I56" i="1" s="1"/>
  <c r="E57" i="1"/>
  <c r="I57" i="1" s="1"/>
  <c r="E58" i="1"/>
  <c r="I58" i="1" s="1"/>
  <c r="E59" i="1"/>
  <c r="I59" i="1" s="1"/>
  <c r="E60" i="1"/>
  <c r="I60" i="1" s="1"/>
  <c r="E61" i="1"/>
  <c r="I61" i="1" s="1"/>
  <c r="E62" i="1"/>
  <c r="I62" i="1" s="1"/>
  <c r="E63" i="1"/>
  <c r="I63" i="1" s="1"/>
  <c r="E64" i="1"/>
  <c r="E65" i="1"/>
  <c r="I65" i="1" s="1"/>
  <c r="E66" i="1"/>
  <c r="I66" i="1" s="1"/>
  <c r="E67" i="1"/>
  <c r="I67" i="1" s="1"/>
  <c r="E68" i="1"/>
  <c r="I68" i="1" s="1"/>
  <c r="E69" i="1"/>
  <c r="I69" i="1" s="1"/>
  <c r="E70" i="1"/>
  <c r="I70" i="1" s="1"/>
  <c r="E71" i="1"/>
  <c r="I71" i="1" s="1"/>
  <c r="E72" i="1"/>
  <c r="E73" i="1"/>
  <c r="I73" i="1" s="1"/>
  <c r="E74" i="1"/>
  <c r="I74" i="1" s="1"/>
  <c r="E75" i="1"/>
  <c r="I75" i="1" s="1"/>
  <c r="E76" i="1"/>
  <c r="I76" i="1" s="1"/>
  <c r="E77" i="1"/>
  <c r="I77" i="1" s="1"/>
  <c r="E78" i="1"/>
  <c r="I78" i="1" s="1"/>
  <c r="E79" i="1"/>
  <c r="I79" i="1" s="1"/>
  <c r="E80" i="1"/>
  <c r="I80" i="1" s="1"/>
  <c r="E81" i="1"/>
  <c r="I81" i="1" s="1"/>
  <c r="E82" i="1"/>
  <c r="I82" i="1" s="1"/>
  <c r="E83" i="1"/>
  <c r="I83" i="1" s="1"/>
  <c r="E84" i="1"/>
  <c r="I84" i="1" s="1"/>
  <c r="E85" i="1"/>
  <c r="I85" i="1" s="1"/>
  <c r="E86" i="1"/>
  <c r="I86" i="1" s="1"/>
  <c r="E87" i="1"/>
  <c r="I87" i="1" s="1"/>
  <c r="E88" i="1"/>
  <c r="I88" i="1" s="1"/>
  <c r="E89" i="1"/>
  <c r="I89" i="1" s="1"/>
  <c r="E90" i="1"/>
  <c r="I90" i="1" s="1"/>
  <c r="E91" i="1"/>
  <c r="I91" i="1" s="1"/>
  <c r="E92" i="1"/>
  <c r="I92" i="1" s="1"/>
  <c r="E93" i="1"/>
  <c r="I93" i="1" s="1"/>
  <c r="E94" i="1"/>
  <c r="I94" i="1" s="1"/>
  <c r="E95" i="1"/>
  <c r="I95" i="1" s="1"/>
  <c r="E96" i="1"/>
  <c r="I96" i="1" s="1"/>
  <c r="E97" i="1"/>
  <c r="I97" i="1" s="1"/>
  <c r="E98" i="1"/>
  <c r="I98" i="1" s="1"/>
  <c r="E99" i="1"/>
  <c r="I99" i="1" s="1"/>
  <c r="E100" i="1"/>
  <c r="I100" i="1" s="1"/>
  <c r="E101" i="1"/>
  <c r="I101" i="1" s="1"/>
  <c r="E102" i="1"/>
  <c r="I102" i="1" s="1"/>
  <c r="E103" i="1"/>
  <c r="I103" i="1" s="1"/>
  <c r="E104" i="1"/>
  <c r="I104" i="1" s="1"/>
  <c r="E105" i="1"/>
  <c r="I105" i="1" s="1"/>
  <c r="E106" i="1"/>
  <c r="I106" i="1" s="1"/>
  <c r="E107" i="1"/>
  <c r="I107" i="1" s="1"/>
  <c r="E108" i="1"/>
  <c r="I108" i="1" s="1"/>
  <c r="E109" i="1"/>
  <c r="I109" i="1" s="1"/>
  <c r="E110" i="1"/>
  <c r="I110" i="1" s="1"/>
  <c r="E111" i="1"/>
  <c r="I111" i="1" s="1"/>
  <c r="E112" i="1"/>
  <c r="E113" i="1"/>
  <c r="I113" i="1" s="1"/>
  <c r="E114" i="1"/>
  <c r="I114" i="1" s="1"/>
  <c r="E115" i="1"/>
  <c r="I115" i="1" s="1"/>
  <c r="E116" i="1"/>
  <c r="I116" i="1" s="1"/>
  <c r="E117" i="1"/>
  <c r="I117" i="1" s="1"/>
  <c r="E118" i="1"/>
  <c r="I118" i="1" s="1"/>
  <c r="E119" i="1"/>
  <c r="I119" i="1" s="1"/>
  <c r="E120" i="1"/>
  <c r="I120" i="1" s="1"/>
  <c r="E121" i="1"/>
  <c r="I121" i="1" s="1"/>
  <c r="E122" i="1"/>
  <c r="I122" i="1" s="1"/>
  <c r="E123" i="1"/>
  <c r="I123" i="1" s="1"/>
  <c r="E124" i="1"/>
  <c r="I124" i="1" s="1"/>
  <c r="E125" i="1"/>
  <c r="I125" i="1" s="1"/>
  <c r="E126" i="1"/>
  <c r="I126" i="1" s="1"/>
  <c r="E127" i="1"/>
  <c r="I127" i="1" s="1"/>
  <c r="E128" i="1"/>
  <c r="E129" i="1"/>
  <c r="I129" i="1" s="1"/>
  <c r="E130" i="1"/>
  <c r="I130" i="1" s="1"/>
  <c r="E131" i="1"/>
  <c r="I131" i="1" s="1"/>
  <c r="E132" i="1"/>
  <c r="I132" i="1" s="1"/>
  <c r="E133" i="1"/>
  <c r="I133" i="1" s="1"/>
  <c r="E134" i="1"/>
  <c r="I134" i="1" s="1"/>
  <c r="E135" i="1"/>
  <c r="I135" i="1" s="1"/>
  <c r="E136" i="1"/>
  <c r="E137" i="1"/>
  <c r="I137" i="1" s="1"/>
  <c r="E138" i="1"/>
  <c r="I138" i="1" s="1"/>
  <c r="E139" i="1"/>
  <c r="I139" i="1" s="1"/>
  <c r="E140" i="1"/>
  <c r="I140" i="1" s="1"/>
  <c r="E141" i="1"/>
  <c r="I141" i="1" s="1"/>
  <c r="E142" i="1"/>
  <c r="I142" i="1" s="1"/>
  <c r="E143" i="1"/>
  <c r="I143" i="1" s="1"/>
  <c r="E144" i="1"/>
  <c r="I144" i="1" s="1"/>
  <c r="E145" i="1"/>
  <c r="I145" i="1" s="1"/>
  <c r="E146" i="1"/>
  <c r="I146" i="1" s="1"/>
  <c r="E147" i="1"/>
  <c r="I147" i="1" s="1"/>
  <c r="E148" i="1"/>
  <c r="I148" i="1" s="1"/>
  <c r="E149" i="1"/>
  <c r="I149" i="1" s="1"/>
  <c r="E150" i="1"/>
  <c r="I150" i="1" s="1"/>
  <c r="E151" i="1"/>
  <c r="I151" i="1" s="1"/>
  <c r="E152" i="1"/>
  <c r="I152" i="1" s="1"/>
  <c r="E153" i="1"/>
  <c r="I153" i="1" s="1"/>
  <c r="E154" i="1"/>
  <c r="I154" i="1" s="1"/>
  <c r="E155" i="1"/>
  <c r="I155" i="1" s="1"/>
  <c r="E156" i="1"/>
  <c r="I156" i="1" s="1"/>
  <c r="E157" i="1"/>
  <c r="I157" i="1" s="1"/>
  <c r="E158" i="1"/>
  <c r="I158" i="1" s="1"/>
  <c r="E159" i="1"/>
  <c r="I159" i="1" s="1"/>
  <c r="E160" i="1"/>
  <c r="I160" i="1" s="1"/>
  <c r="E161" i="1"/>
  <c r="I161" i="1" s="1"/>
  <c r="E162" i="1"/>
  <c r="I162" i="1" s="1"/>
  <c r="E163" i="1"/>
  <c r="I163" i="1" s="1"/>
  <c r="E164" i="1"/>
  <c r="I164" i="1" s="1"/>
  <c r="E165" i="1"/>
  <c r="I165" i="1" s="1"/>
  <c r="E166" i="1"/>
  <c r="I166" i="1" s="1"/>
  <c r="E167" i="1"/>
  <c r="I167" i="1" s="1"/>
  <c r="E168" i="1"/>
  <c r="I168" i="1" s="1"/>
  <c r="E169" i="1"/>
  <c r="I169" i="1" s="1"/>
  <c r="E170" i="1"/>
  <c r="I170" i="1" s="1"/>
  <c r="E171" i="1"/>
  <c r="I171" i="1" s="1"/>
  <c r="E172" i="1"/>
  <c r="I172" i="1" s="1"/>
  <c r="E173" i="1"/>
  <c r="I173" i="1" s="1"/>
  <c r="E174" i="1"/>
  <c r="I174" i="1" s="1"/>
  <c r="E175" i="1"/>
  <c r="I175" i="1" s="1"/>
  <c r="E176" i="1"/>
  <c r="E177" i="1"/>
  <c r="I177" i="1" s="1"/>
  <c r="E178" i="1"/>
  <c r="I178" i="1" s="1"/>
  <c r="E179" i="1"/>
  <c r="I179" i="1" s="1"/>
  <c r="E180" i="1"/>
  <c r="I180" i="1" s="1"/>
  <c r="E181" i="1"/>
  <c r="I181" i="1" s="1"/>
  <c r="E182" i="1"/>
  <c r="I182" i="1" s="1"/>
  <c r="E183" i="1"/>
  <c r="I183" i="1" s="1"/>
  <c r="E184" i="1"/>
  <c r="I184" i="1" s="1"/>
  <c r="E185" i="1"/>
  <c r="I185" i="1" s="1"/>
  <c r="E186" i="1"/>
  <c r="I186" i="1" s="1"/>
  <c r="E187" i="1"/>
  <c r="I187" i="1" s="1"/>
  <c r="E188" i="1"/>
  <c r="I188" i="1" s="1"/>
  <c r="E189" i="1"/>
  <c r="I189" i="1" s="1"/>
  <c r="E190" i="1"/>
  <c r="I190" i="1" s="1"/>
  <c r="E191" i="1"/>
  <c r="I191" i="1" s="1"/>
  <c r="E192" i="1"/>
  <c r="E193" i="1"/>
  <c r="I193" i="1" s="1"/>
  <c r="E194" i="1"/>
  <c r="I194" i="1" s="1"/>
  <c r="E195" i="1"/>
  <c r="I195" i="1" s="1"/>
  <c r="E196" i="1"/>
  <c r="I196" i="1" s="1"/>
  <c r="E197" i="1"/>
  <c r="I197" i="1" s="1"/>
  <c r="E198" i="1"/>
  <c r="I198" i="1" s="1"/>
  <c r="E199" i="1"/>
  <c r="I199" i="1" s="1"/>
  <c r="E200" i="1"/>
  <c r="E201" i="1"/>
  <c r="I201" i="1" s="1"/>
  <c r="E202" i="1"/>
  <c r="I202" i="1" s="1"/>
  <c r="E203" i="1"/>
  <c r="I203" i="1" s="1"/>
  <c r="E204" i="1"/>
  <c r="I204" i="1" s="1"/>
  <c r="E205" i="1"/>
  <c r="I205" i="1" s="1"/>
  <c r="E206" i="1"/>
  <c r="I206" i="1" s="1"/>
  <c r="E207" i="1"/>
  <c r="I207" i="1" s="1"/>
  <c r="E208" i="1"/>
  <c r="I208" i="1" s="1"/>
  <c r="E209" i="1"/>
  <c r="I209" i="1" s="1"/>
  <c r="E210" i="1"/>
  <c r="I210" i="1" s="1"/>
  <c r="E211" i="1"/>
  <c r="I211" i="1" s="1"/>
  <c r="E212" i="1"/>
  <c r="I212" i="1" s="1"/>
  <c r="E213" i="1"/>
  <c r="I213" i="1" s="1"/>
  <c r="E214" i="1"/>
  <c r="I214" i="1" s="1"/>
  <c r="E215" i="1"/>
  <c r="I215" i="1" s="1"/>
  <c r="E216" i="1"/>
  <c r="I216" i="1" s="1"/>
  <c r="E217" i="1"/>
  <c r="I217" i="1" s="1"/>
  <c r="E218" i="1"/>
  <c r="I218" i="1" s="1"/>
  <c r="E219" i="1"/>
  <c r="I219" i="1" s="1"/>
  <c r="E220" i="1"/>
  <c r="I220" i="1" s="1"/>
  <c r="E221" i="1"/>
  <c r="I221" i="1" s="1"/>
  <c r="E222" i="1"/>
  <c r="I222" i="1" s="1"/>
  <c r="E223" i="1"/>
  <c r="I223" i="1" s="1"/>
  <c r="E224" i="1"/>
  <c r="I224" i="1" s="1"/>
  <c r="E225" i="1"/>
  <c r="I225" i="1" s="1"/>
  <c r="E226" i="1"/>
  <c r="I226" i="1" s="1"/>
  <c r="E227" i="1"/>
  <c r="I227" i="1" s="1"/>
  <c r="E228" i="1"/>
  <c r="I228" i="1" s="1"/>
  <c r="E229" i="1"/>
  <c r="I229" i="1" s="1"/>
  <c r="E230" i="1"/>
  <c r="I230" i="1" s="1"/>
  <c r="E231" i="1"/>
  <c r="I231" i="1" s="1"/>
  <c r="E232" i="1"/>
  <c r="I232" i="1" s="1"/>
  <c r="E233" i="1"/>
  <c r="I233" i="1" s="1"/>
  <c r="E234" i="1"/>
  <c r="I234" i="1" s="1"/>
  <c r="E235" i="1"/>
  <c r="I235" i="1" s="1"/>
  <c r="E236" i="1"/>
  <c r="I236" i="1" s="1"/>
  <c r="E237" i="1"/>
  <c r="I237" i="1" s="1"/>
  <c r="E238" i="1"/>
  <c r="I238" i="1" s="1"/>
  <c r="E239" i="1"/>
  <c r="I239" i="1" s="1"/>
  <c r="E240" i="1"/>
  <c r="E241" i="1"/>
  <c r="I241" i="1" s="1"/>
  <c r="E242" i="1"/>
  <c r="I242" i="1" s="1"/>
  <c r="E243" i="1"/>
  <c r="I243" i="1" s="1"/>
  <c r="E244" i="1"/>
  <c r="I244" i="1" s="1"/>
  <c r="E245" i="1"/>
  <c r="I245" i="1" s="1"/>
  <c r="E246" i="1"/>
  <c r="I246" i="1" s="1"/>
  <c r="E247" i="1"/>
  <c r="I247" i="1" s="1"/>
  <c r="E248" i="1"/>
  <c r="I248" i="1" s="1"/>
  <c r="E249" i="1"/>
  <c r="I249" i="1" s="1"/>
  <c r="E250" i="1"/>
  <c r="I250" i="1" s="1"/>
  <c r="E251" i="1"/>
  <c r="I251" i="1" s="1"/>
  <c r="E252" i="1"/>
  <c r="I252" i="1" s="1"/>
  <c r="E253" i="1"/>
  <c r="I253" i="1" s="1"/>
  <c r="E254" i="1"/>
  <c r="I254" i="1" s="1"/>
  <c r="E255" i="1"/>
  <c r="I255" i="1" s="1"/>
  <c r="E256" i="1"/>
  <c r="E257" i="1"/>
  <c r="I257" i="1" s="1"/>
  <c r="E258" i="1"/>
  <c r="I258" i="1" s="1"/>
  <c r="E259" i="1"/>
  <c r="I259" i="1" s="1"/>
  <c r="E260" i="1"/>
  <c r="I260" i="1" s="1"/>
  <c r="E261" i="1"/>
  <c r="I261" i="1" s="1"/>
  <c r="E262" i="1"/>
  <c r="I262" i="1" s="1"/>
  <c r="E263" i="1"/>
  <c r="I263" i="1" s="1"/>
  <c r="E264" i="1"/>
  <c r="E265" i="1"/>
  <c r="I265" i="1" s="1"/>
  <c r="E266" i="1"/>
  <c r="I266" i="1" s="1"/>
  <c r="E267" i="1"/>
  <c r="I267" i="1" s="1"/>
  <c r="E268" i="1"/>
  <c r="I268" i="1" s="1"/>
  <c r="E269" i="1"/>
  <c r="I269" i="1" s="1"/>
  <c r="E270" i="1"/>
  <c r="I270" i="1" s="1"/>
  <c r="E271" i="1"/>
  <c r="I271" i="1" s="1"/>
  <c r="E272" i="1"/>
  <c r="I272" i="1" s="1"/>
  <c r="E273" i="1"/>
  <c r="I273" i="1" s="1"/>
  <c r="E274" i="1"/>
  <c r="I274" i="1" s="1"/>
  <c r="E275" i="1"/>
  <c r="I275" i="1" s="1"/>
  <c r="E276" i="1"/>
  <c r="I276" i="1" s="1"/>
  <c r="E277" i="1"/>
  <c r="I277" i="1" s="1"/>
  <c r="E278" i="1"/>
  <c r="I278" i="1" s="1"/>
  <c r="E279" i="1"/>
  <c r="I279" i="1" s="1"/>
  <c r="E280" i="1"/>
  <c r="I280" i="1" s="1"/>
  <c r="E281" i="1"/>
  <c r="I281" i="1" s="1"/>
  <c r="E282" i="1"/>
  <c r="I282" i="1" s="1"/>
  <c r="E283" i="1"/>
  <c r="I283" i="1" s="1"/>
  <c r="E284" i="1"/>
  <c r="I284" i="1" s="1"/>
  <c r="E285" i="1"/>
  <c r="I285" i="1" s="1"/>
  <c r="E286" i="1"/>
  <c r="I286" i="1" s="1"/>
  <c r="E287" i="1"/>
  <c r="I287" i="1" s="1"/>
  <c r="E288" i="1"/>
  <c r="I288" i="1" s="1"/>
  <c r="E289" i="1"/>
  <c r="I289" i="1" s="1"/>
  <c r="E290" i="1"/>
  <c r="I290" i="1" s="1"/>
  <c r="E291" i="1"/>
  <c r="I291" i="1" s="1"/>
  <c r="E292" i="1"/>
  <c r="I292" i="1" s="1"/>
  <c r="E293" i="1"/>
  <c r="I293" i="1" s="1"/>
  <c r="E294" i="1"/>
  <c r="I294" i="1" s="1"/>
  <c r="E295" i="1"/>
  <c r="I295" i="1" s="1"/>
  <c r="E296" i="1"/>
  <c r="I296" i="1" s="1"/>
  <c r="E297" i="1"/>
  <c r="I297" i="1" s="1"/>
  <c r="E298" i="1"/>
  <c r="I298" i="1" s="1"/>
  <c r="E299" i="1"/>
  <c r="I299" i="1" s="1"/>
  <c r="E300" i="1"/>
  <c r="I300" i="1" s="1"/>
  <c r="E301" i="1"/>
  <c r="I301" i="1" s="1"/>
  <c r="E302" i="1"/>
  <c r="I302" i="1" s="1"/>
  <c r="E303" i="1"/>
  <c r="I303" i="1" s="1"/>
  <c r="E304" i="1"/>
  <c r="E305" i="1"/>
  <c r="I305" i="1" s="1"/>
  <c r="E306" i="1"/>
  <c r="I306" i="1" s="1"/>
  <c r="E307" i="1"/>
  <c r="I307" i="1" s="1"/>
  <c r="E308" i="1"/>
  <c r="I308" i="1" s="1"/>
  <c r="E309" i="1"/>
  <c r="I309" i="1" s="1"/>
  <c r="E310" i="1"/>
  <c r="I310" i="1" s="1"/>
  <c r="E311" i="1"/>
  <c r="I311" i="1" s="1"/>
  <c r="E312" i="1"/>
  <c r="I312" i="1" s="1"/>
  <c r="E313" i="1"/>
  <c r="I313" i="1" s="1"/>
  <c r="E314" i="1"/>
  <c r="I314" i="1" s="1"/>
  <c r="E315" i="1"/>
  <c r="I315" i="1" s="1"/>
  <c r="E316" i="1"/>
  <c r="I316" i="1" s="1"/>
  <c r="E317" i="1"/>
  <c r="I317" i="1" s="1"/>
  <c r="E318" i="1"/>
  <c r="I318" i="1" s="1"/>
  <c r="E319" i="1"/>
  <c r="I319" i="1" s="1"/>
  <c r="E320" i="1"/>
  <c r="E321" i="1"/>
  <c r="I321" i="1" s="1"/>
  <c r="E322" i="1"/>
  <c r="I322" i="1" s="1"/>
  <c r="E323" i="1"/>
  <c r="I323" i="1" s="1"/>
  <c r="E324" i="1"/>
  <c r="I324" i="1" s="1"/>
  <c r="E325" i="1"/>
  <c r="I325" i="1" s="1"/>
  <c r="E326" i="1"/>
  <c r="I326" i="1" s="1"/>
  <c r="E327" i="1"/>
  <c r="I327" i="1" s="1"/>
  <c r="E328" i="1"/>
  <c r="E329" i="1"/>
  <c r="I329" i="1" s="1"/>
  <c r="E330" i="1"/>
  <c r="I330" i="1" s="1"/>
  <c r="E331" i="1"/>
  <c r="I331" i="1" s="1"/>
  <c r="E332" i="1"/>
  <c r="I332" i="1" s="1"/>
  <c r="E333" i="1"/>
  <c r="I333" i="1" s="1"/>
  <c r="E334" i="1"/>
  <c r="I334" i="1" s="1"/>
  <c r="E335" i="1"/>
  <c r="I335" i="1" s="1"/>
  <c r="E336" i="1"/>
  <c r="I336" i="1" s="1"/>
  <c r="E337" i="1"/>
  <c r="I337" i="1" s="1"/>
  <c r="E338" i="1"/>
  <c r="I338" i="1" s="1"/>
  <c r="E339" i="1"/>
  <c r="I339" i="1" s="1"/>
  <c r="E340" i="1"/>
  <c r="I340" i="1" s="1"/>
  <c r="E341" i="1"/>
  <c r="I341" i="1" s="1"/>
  <c r="E342" i="1"/>
  <c r="I342" i="1" s="1"/>
  <c r="E343" i="1"/>
  <c r="I343" i="1" s="1"/>
  <c r="E344" i="1"/>
  <c r="I344" i="1" s="1"/>
  <c r="E345" i="1"/>
  <c r="I345" i="1" s="1"/>
  <c r="E346" i="1"/>
  <c r="I346" i="1" s="1"/>
  <c r="E347" i="1"/>
  <c r="I347" i="1" s="1"/>
  <c r="E348" i="1"/>
  <c r="I348" i="1" s="1"/>
  <c r="E349" i="1"/>
  <c r="I349" i="1" s="1"/>
  <c r="E350" i="1"/>
  <c r="I350" i="1" s="1"/>
  <c r="E351" i="1"/>
  <c r="I351" i="1" s="1"/>
  <c r="E352" i="1"/>
  <c r="I352" i="1" s="1"/>
  <c r="E353" i="1"/>
  <c r="I353" i="1" s="1"/>
  <c r="E354" i="1"/>
  <c r="I354" i="1" s="1"/>
  <c r="E355" i="1"/>
  <c r="I355" i="1" s="1"/>
  <c r="E356" i="1"/>
  <c r="I356" i="1" s="1"/>
  <c r="E357" i="1"/>
  <c r="I357" i="1" s="1"/>
  <c r="E358" i="1"/>
  <c r="I358" i="1" s="1"/>
  <c r="E359" i="1"/>
  <c r="I359" i="1" s="1"/>
  <c r="E360" i="1"/>
  <c r="I360" i="1" s="1"/>
  <c r="E361" i="1"/>
  <c r="I361" i="1" s="1"/>
  <c r="L8" i="1" l="1"/>
  <c r="L7" i="1"/>
  <c r="L9" i="1" s="1"/>
</calcChain>
</file>

<file path=xl/sharedStrings.xml><?xml version="1.0" encoding="utf-8"?>
<sst xmlns="http://schemas.openxmlformats.org/spreadsheetml/2006/main" count="2175" uniqueCount="1305">
  <si>
    <t>project</t>
  </si>
  <si>
    <t>smell</t>
  </si>
  <si>
    <t>package</t>
  </si>
  <si>
    <t>class</t>
  </si>
  <si>
    <t>prompt_file</t>
  </si>
  <si>
    <t>context_size</t>
  </si>
  <si>
    <t>javaparser</t>
  </si>
  <si>
    <t>com.github.javaparser.symbolsolver.javaparsermodel.contexts</t>
  </si>
  <si>
    <t>byte-buddy</t>
  </si>
  <si>
    <t>net.bytebuddy.dynamic.DynamicType</t>
  </si>
  <si>
    <t>com.packageName</t>
  </si>
  <si>
    <t>ClassInPackage</t>
  </si>
  <si>
    <t>net.bytebuddy.description.type.TypeList</t>
  </si>
  <si>
    <t>net.bytebuddy.description.type.RecordComponentDescription</t>
  </si>
  <si>
    <t>commons-io</t>
  </si>
  <si>
    <t>org.apache.commons.io</t>
  </si>
  <si>
    <t>net.bytebuddy.implementation.bind.MethodDelegationBinder</t>
  </si>
  <si>
    <t>Compound</t>
  </si>
  <si>
    <t>zxing</t>
  </si>
  <si>
    <t>com.google.zxing</t>
  </si>
  <si>
    <t>jitwatch</t>
  </si>
  <si>
    <t>(default package)</t>
  </si>
  <si>
    <t>net.bytebuddy</t>
  </si>
  <si>
    <t>net.bytebuddy.implementation.MethodCall</t>
  </si>
  <si>
    <t>org.apache.commons.io.input</t>
  </si>
  <si>
    <t>Builder</t>
  </si>
  <si>
    <t>com.google.zxing.oned</t>
  </si>
  <si>
    <t>org.apache.commons.io.output</t>
  </si>
  <si>
    <t>jimfs</t>
  </si>
  <si>
    <t>View</t>
  </si>
  <si>
    <t>org.apache.commons.io.file</t>
  </si>
  <si>
    <t>gson</t>
  </si>
  <si>
    <t>com.google.gson.internal.bind.CollectionTypeAdapterFactory</t>
  </si>
  <si>
    <t>Adapter</t>
  </si>
  <si>
    <t>commons-lang</t>
  </si>
  <si>
    <t>org.apache.commons.lang3.compare</t>
  </si>
  <si>
    <t>ComparableUtils</t>
  </si>
  <si>
    <t>com.google.zxing.client.android</t>
  </si>
  <si>
    <t>org.apache.commons.lang3.concurrent</t>
  </si>
  <si>
    <t>net.bytebuddy.asm.AsmVisitorWrapper</t>
  </si>
  <si>
    <t>NoOp</t>
  </si>
  <si>
    <t>net.bytebuddy.description.modifier</t>
  </si>
  <si>
    <t>net.bytebuddy.description.method.ParameterList</t>
  </si>
  <si>
    <t>jmhTest</t>
  </si>
  <si>
    <t>com.google.zxing.oned.rss.expanded.decoders</t>
  </si>
  <si>
    <t>com.google.zxing.web</t>
  </si>
  <si>
    <t>net.bytebuddy.asm.MemberSubstitution</t>
  </si>
  <si>
    <t>Dispatcher</t>
  </si>
  <si>
    <t>net.bytebuddy.implementation.bytecode.member</t>
  </si>
  <si>
    <t>OfLegacyVmMethod</t>
  </si>
  <si>
    <t>com.github.javaparser.utils</t>
  </si>
  <si>
    <t>UncheckedFilterReader</t>
  </si>
  <si>
    <t>net.bytebuddy.implementation.auxiliary.TypeProxy</t>
  </si>
  <si>
    <t>jsoup</t>
  </si>
  <si>
    <t>net.bytebuddy.implementation.InvokeDynamic</t>
  </si>
  <si>
    <t>com.github.javaparser.resolution.logic</t>
  </si>
  <si>
    <t>ConstructorResolutionLogic</t>
  </si>
  <si>
    <t>google-java-format</t>
  </si>
  <si>
    <t>com.google.googlejavaformat.java.JavacTokens</t>
  </si>
  <si>
    <t>net.bytebuddy.description.annotation.AnnotationValue</t>
  </si>
  <si>
    <t>Factory</t>
  </si>
  <si>
    <t>net.bytebuddy.pool.TypePool</t>
  </si>
  <si>
    <t>net.bytebuddy.build.Plugin</t>
  </si>
  <si>
    <t>CompoundIterator</t>
  </si>
  <si>
    <t>AbstractBase</t>
  </si>
  <si>
    <t>org.adoptopenjdk.jitwatch.model.assembly</t>
  </si>
  <si>
    <t>AssemblyInstruction</t>
  </si>
  <si>
    <t>net.bytebuddy.agent.ByteBuddyAgent</t>
  </si>
  <si>
    <t>net.bytebuddy.dynamic.scaffold.TypeWriter</t>
  </si>
  <si>
    <t>Default</t>
  </si>
  <si>
    <t>com.github.javaparser.metamodel</t>
  </si>
  <si>
    <t>StringLiteralExprMetaModel</t>
  </si>
  <si>
    <t>net.bytebuddy.implementation.bytecode.member.FieldAccess</t>
  </si>
  <si>
    <t>net.bytebuddy.dynamic.ClassFileLocator</t>
  </si>
  <si>
    <t>net.bytebuddy.implementation.bytecode.constant</t>
  </si>
  <si>
    <t>net.bytebuddy.agent.VirtualMachine</t>
  </si>
  <si>
    <t>org.apache.commons.lang3.exception</t>
  </si>
  <si>
    <t>com.google.zxing.datamatrix.encoder</t>
  </si>
  <si>
    <t>com.google.gson</t>
  </si>
  <si>
    <t>org.apache.commons.io.file.CountingPathVisitor</t>
  </si>
  <si>
    <t>net.bytebuddy.description.field.FieldDescription</t>
  </si>
  <si>
    <t>JavadocCommentMetaModel</t>
  </si>
  <si>
    <t>com.google.zxing.common</t>
  </si>
  <si>
    <t>com.google.zxing.pdf417.decoder</t>
  </si>
  <si>
    <t>net.bytebuddy.implementation.attribute.AnnotationAppender</t>
  </si>
  <si>
    <t>OnField</t>
  </si>
  <si>
    <t>com.google.zxing.common.reedsolomon</t>
  </si>
  <si>
    <t>ReedSolomonEncoder</t>
  </si>
  <si>
    <t>net.bytebuddy.implementation.bytecode.constant.MethodConstant</t>
  </si>
  <si>
    <t>net.bytebuddy.implementation.Implementation</t>
  </si>
  <si>
    <t>org.jsoup.helper</t>
  </si>
  <si>
    <t>net.bytebuddy.description.type.TypeDescription</t>
  </si>
  <si>
    <t>MethodResolutionLogic</t>
  </si>
  <si>
    <t>com.github.javaparser.symbolsolver.javassistmodel</t>
  </si>
  <si>
    <t>net.bytebuddy.dynamic.loading.ClassLoadingStrategy</t>
  </si>
  <si>
    <t>net.bytebuddy.dynamic.scaffold.MethodGraph</t>
  </si>
  <si>
    <t>net.bytebuddy.build.gradle.android.ByteBuddyAndroidPlugin</t>
  </si>
  <si>
    <t>net.bytebuddy.utility.dispatcher.JavaDispatcher</t>
  </si>
  <si>
    <t>com.github.javaparser.javasymbolsolver.javassist.symbols.main.jar</t>
  </si>
  <si>
    <t>MyEnum</t>
  </si>
  <si>
    <t>com.github.javaparser.printer.lexicalpreservation.ReshuffledDiffElementExtractor</t>
  </si>
  <si>
    <t>MatchClassification</t>
  </si>
  <si>
    <t>TypeParameterMetaModel</t>
  </si>
  <si>
    <t>com.google.zxing.datamatrix.decoder</t>
  </si>
  <si>
    <t>CreationAction</t>
  </si>
  <si>
    <t>org.adoptopenjdk.jitwatch.util</t>
  </si>
  <si>
    <t>com.github.javaparser</t>
  </si>
  <si>
    <t>com.google.googlejavaformat.java</t>
  </si>
  <si>
    <t>Main</t>
  </si>
  <si>
    <t>com.github.javaparser.ast.validator.postprocessors</t>
  </si>
  <si>
    <t>org.apache.commons.lang3.time.FastDateParser</t>
  </si>
  <si>
    <t>org.apache.commons.lang3.time</t>
  </si>
  <si>
    <t>com.google.zxing.client.result</t>
  </si>
  <si>
    <t>com.github.javaparser.utils.Log</t>
  </si>
  <si>
    <t>com.google.gson.internal</t>
  </si>
  <si>
    <t>org.adoptopenjdk.jitwatch.process.compiler</t>
  </si>
  <si>
    <t>(default package).InnerClassDotExpressions</t>
  </si>
  <si>
    <t>InnerClass</t>
  </si>
  <si>
    <t>org.gradle.api.file</t>
  </si>
  <si>
    <t>DirectoryProperty</t>
  </si>
  <si>
    <t>com.google.common.jimfs</t>
  </si>
  <si>
    <t>net.bytebuddy.NamingStrategy</t>
  </si>
  <si>
    <t>org.jsoup.nodes</t>
  </si>
  <si>
    <t>net.bytebuddy.matcher</t>
  </si>
  <si>
    <t>org.jsoup.select.Evaluator</t>
  </si>
  <si>
    <t>net.bytebuddy.implementation.bytecode</t>
  </si>
  <si>
    <t>net.bytebuddy.implementation.attribute.MethodAttributeAppender</t>
  </si>
  <si>
    <t>ForInstrumentedMethod</t>
  </si>
  <si>
    <t>net.bytebuddy.build.maven.ByteBuddyMojo</t>
  </si>
  <si>
    <t>SimplePathVisitor</t>
  </si>
  <si>
    <t>org.apache.commons.io.comparator</t>
  </si>
  <si>
    <t>(default package).PolymorphismTest</t>
  </si>
  <si>
    <t>Quarter</t>
  </si>
  <si>
    <t>com.github.javaparser.symbolsolver</t>
  </si>
  <si>
    <t>issue241.TypeWithMemberType</t>
  </si>
  <si>
    <t>MemberInterface</t>
  </si>
  <si>
    <t>Kind</t>
  </si>
  <si>
    <t>LazyInterfaceList</t>
  </si>
  <si>
    <t>com.github.javaparser.symbolsolver.cache</t>
  </si>
  <si>
    <t>com.google.zxing.datamatrix.decoder.Version</t>
  </si>
  <si>
    <t>ECBlocks</t>
  </si>
  <si>
    <t>com.github.javaparser.resolution</t>
  </si>
  <si>
    <t>Illegal</t>
  </si>
  <si>
    <t>com.github.javaparser.ast.validator.language.level.validations.chunks</t>
  </si>
  <si>
    <t>net.bytebuddy.implementation.FieldAccessor</t>
  </si>
  <si>
    <t>net.bytebuddy.implementation.bind.annotation.TargetMethodAnnotationDrivenBinder</t>
  </si>
  <si>
    <t>Handler</t>
  </si>
  <si>
    <t>org.jsoup.parser</t>
  </si>
  <si>
    <t>com.google.common.jimfs.FileFactory</t>
  </si>
  <si>
    <t>org.adoptopenjdk.jitwatch.ui.viewer</t>
  </si>
  <si>
    <t>com.github.javaparser.printer.concretesyntaxmodel</t>
  </si>
  <si>
    <t>Response</t>
  </si>
  <si>
    <t>com.github.javaparser.serialization.JavaParserJsonSerializer</t>
  </si>
  <si>
    <t>State</t>
  </si>
  <si>
    <t>org.apache.commons.lang3.function</t>
  </si>
  <si>
    <t>CollectionErasureMatcher</t>
  </si>
  <si>
    <t>org.apache.commons.lang3.ThreadUtils</t>
  </si>
  <si>
    <t>net.bytebuddy.dynamic.loading.ClassInjector</t>
  </si>
  <si>
    <t>foo</t>
  </si>
  <si>
    <t>B</t>
  </si>
  <si>
    <t>Gson</t>
  </si>
  <si>
    <t>net.bytebuddy.build.gradle.android</t>
  </si>
  <si>
    <t>com.google.zxing.aztec.encoder</t>
  </si>
  <si>
    <t>org.apache.commons.io.file.SimplePathVisitor</t>
  </si>
  <si>
    <t>AbstractBuilder</t>
  </si>
  <si>
    <t>Explicit</t>
  </si>
  <si>
    <t>org.adoptopenjdk.jitwatch.model</t>
  </si>
  <si>
    <t>PackageManager</t>
  </si>
  <si>
    <t>org.apache.commons.lang3.time.FastDatePrinter</t>
  </si>
  <si>
    <t>org.apache.commons.io.function</t>
  </si>
  <si>
    <t>BaseNodeMetaModel</t>
  </si>
  <si>
    <t>(default package).InnerClassDotExpressions.InnerClass</t>
  </si>
  <si>
    <t>(default package).PolymorphismTest.Quarter</t>
  </si>
  <si>
    <t>com.github.javaparser.metamodel.BaseNodeMetaModel</t>
  </si>
  <si>
    <t>com.github.javaparser.metamodel.JavadocCommentMetaModel</t>
  </si>
  <si>
    <t>com.github.javaparser.metamodel.StringLiteralExprMetaModel</t>
  </si>
  <si>
    <t>com.github.javaparser.metamodel.TypeParameterMetaModel</t>
  </si>
  <si>
    <t>com.github.javaparser.printer.lexicalpreservation.ReshuffledDiffElementExtractor.MatchClassification</t>
  </si>
  <si>
    <t>com.github.javaparser.resolution.logic.ConstructorResolutionLogic</t>
  </si>
  <si>
    <t>com.github.javaparser.resolution.logic.MethodResolutionLogic</t>
  </si>
  <si>
    <t>com.google.googlejavaformat.java.Main</t>
  </si>
  <si>
    <t>com.google.gson.Gson</t>
  </si>
  <si>
    <t>com.google.gson.internal.bind.CollectionTypeAdapterFactory.Adapter</t>
  </si>
  <si>
    <t>com.google.zxing.common.reedsolomon.ReedSolomonEncoder</t>
  </si>
  <si>
    <t>com.google.zxing.datamatrix.decoder.Version.ECBlocks</t>
  </si>
  <si>
    <t>com.packageName.ClassInPackage</t>
  </si>
  <si>
    <t>issue241.TypeWithMemberType.MemberInterface</t>
  </si>
  <si>
    <t>net.bytebuddy.build.Plugin.CompoundIterator</t>
  </si>
  <si>
    <t>net.bytebuddy.description.method.ParameterList.OfLegacyVmMethod</t>
  </si>
  <si>
    <t>net.bytebuddy.description.type.TypeDescription.LazyInterfaceList</t>
  </si>
  <si>
    <t>net.bytebuddy.dynamic.TypeResolutionStrategy</t>
  </si>
  <si>
    <t>net.bytebuddy.implementation.MethodAccessorFactory</t>
  </si>
  <si>
    <t>net.bytebuddy.implementation.attribute.AnnotationAppender.OnField</t>
  </si>
  <si>
    <t>net.bytebuddy.implementation.attribute.MethodAttributeAppender.Explicit</t>
  </si>
  <si>
    <t>net.bytebuddy.matcher.CollectionErasureMatcher</t>
  </si>
  <si>
    <t>org.adoptopenjdk.jitwatch.model.PackageManager</t>
  </si>
  <si>
    <t>org.adoptopenjdk.jitwatch.model.assembly.AssemblyInstruction</t>
  </si>
  <si>
    <t>org.apache.commons.io.input.UncheckedFilterReader</t>
  </si>
  <si>
    <t>org.apache.commons.lang3.compare.ComparableUtils</t>
  </si>
  <si>
    <t>org.gradle.api.file.DirectoryProperty</t>
  </si>
  <si>
    <t>fqn</t>
  </si>
  <si>
    <t>designite</t>
  </si>
  <si>
    <t>Decoder</t>
  </si>
  <si>
    <t>net.bytebuddy.utility.JavaConstant</t>
  </si>
  <si>
    <t>org.apache.commons.io.build.AbstractOrigin</t>
  </si>
  <si>
    <t>net.bytebuddy.android.AndroidClassLoadingStrategy</t>
  </si>
  <si>
    <t>com.google.zxing.oned.Code128Writer</t>
  </si>
  <si>
    <t>Latch</t>
  </si>
  <si>
    <t>data/processed/prompts/hublike_modularization/zxing/com_google_zxing_oned_Code128Writer_Latch.txt</t>
  </si>
  <si>
    <t>WifiParsedResult</t>
  </si>
  <si>
    <t>data/processed/prompts/hublike_modularization/zxing/com_google_zxing_client_result_WifiParsedResult.txt</t>
  </si>
  <si>
    <t>FailableBiPredicate</t>
  </si>
  <si>
    <t>data/processed/prompts/hublike_modularization/commons-lang/org_apache_commons_lang3_function_FailableBiPredicate.txt</t>
  </si>
  <si>
    <t>OfClassDesc</t>
  </si>
  <si>
    <t>data/processed/prompts/hublike_modularization/byte-buddy/net_bytebuddy_utility_JavaConstant_OfClassDesc.txt</t>
  </si>
  <si>
    <t>ForJarOutputStream</t>
  </si>
  <si>
    <t>data/processed/prompts/hublike_modularization/byte-buddy/net_bytebuddy_build_Plugin_ForJarOutputStream.txt</t>
  </si>
  <si>
    <t>CopyUtils</t>
  </si>
  <si>
    <t>data/processed/prompts/hublike_modularization/commons-io/org_apache_commons_io_CopyUtils.txt</t>
  </si>
  <si>
    <t>net.bytebuddy.benchmark.jmh.generated.ClassByImplementationBenchmark.benchmarkJdkProxy</t>
  </si>
  <si>
    <t>data/processed/prompts/hublike_modularization/byte-buddy/net_bytebuddy_benchmark_jmh_generated_ClassByImplementationBenchmark_benchmarkJdkProxy_jmhTest.txt</t>
  </si>
  <si>
    <t>UncheckedExecutionException</t>
  </si>
  <si>
    <t>data/processed/prompts/hublike_modularization/commons-lang/org_apache_commons_lang3_concurrent_UncheckedExecutionException.txt</t>
  </si>
  <si>
    <t>OfAnnotatedElement</t>
  </si>
  <si>
    <t>data/processed/prompts/hublike_modularization/byte-buddy/net_bytebuddy_description_type_TypeDescription_OfAnnotatedElement.txt</t>
  </si>
  <si>
    <t>Passive</t>
  </si>
  <si>
    <t>data/processed/prompts/hublike_modularization/byte-buddy/net_bytebuddy_dynamic_TypeResolutionStrategy_Passive.txt</t>
  </si>
  <si>
    <t>data/processed/prompts/hublike_modularization/byte-buddy/net_bytebuddy_implementation_attribute_AnnotationAppender_OnField.txt</t>
  </si>
  <si>
    <t>com.service.definition</t>
  </si>
  <si>
    <t>ServiceDefinition</t>
  </si>
  <si>
    <t>data/processed/prompts/hublike_modularization/byte-buddy/com_service_definition_ServiceDefinition.txt</t>
  </si>
  <si>
    <t>DataMatrixSymbolInfo144</t>
  </si>
  <si>
    <t>data/processed/prompts/hublike_modularization/zxing/com_google_zxing_datamatrix_encoder_DataMatrixSymbolInfo144.txt</t>
  </si>
  <si>
    <t>org.jsoup.helper.HttpConnection</t>
  </si>
  <si>
    <t>data/processed/prompts/hublike_modularization/jsoup/org_jsoup_helper_HttpConnection_Response.txt</t>
  </si>
  <si>
    <t>(default package).InnerClassContainer</t>
  </si>
  <si>
    <t>data/processed/prompts/hublike_modularization/javaparser/(default package)_InnerClassContainer_InnerClass.txt</t>
  </si>
  <si>
    <t>InnerStaticClassFieldContainer</t>
  </si>
  <si>
    <t>data/processed/prompts/hublike_modularization/javaparser/com_packageName_InnerStaticClassFieldContainer.txt</t>
  </si>
  <si>
    <t>net.bytebuddy.implementation.attribute.FieldAttributeAppender</t>
  </si>
  <si>
    <t>data/processed/prompts/hublike_modularization/byte-buddy/net_bytebuddy_implementation_attribute_FieldAttributeAppender_Compound.txt</t>
  </si>
  <si>
    <t>DetectorResult</t>
  </si>
  <si>
    <t>data/processed/prompts/hublike_modularization/zxing/com_google_zxing_common_DetectorResult.txt</t>
  </si>
  <si>
    <t>data/processed/prompts/hublike_modularization/commons-io/org_apache_commons_io_input_UncheckedFilterReader.txt</t>
  </si>
  <si>
    <t>Re2jRegex</t>
  </si>
  <si>
    <t>data/processed/prompts/hublike_modularization/jsoup/org_jsoup_helper_Re2jRegex.txt</t>
  </si>
  <si>
    <t>data/processed/prompts/hublike_modularization/jitwatch/org_adoptopenjdk_jitwatch_model_assembly_AssemblyInstruction.txt</t>
  </si>
  <si>
    <t>com.github.javaparser.symbolsolver.resolution.promotion</t>
  </si>
  <si>
    <t>BooleanConditionalExprHandler</t>
  </si>
  <si>
    <t>data/processed/prompts/hublike_modularization/javaparser/com_github_javaparser_symbolsolver_resolution_promotion_BooleanConditionalExprHandler.txt</t>
  </si>
  <si>
    <t>HotThrow</t>
  </si>
  <si>
    <t>data/processed/prompts/hublike_modularization/jitwatch/(default package)_HotThrow.txt</t>
  </si>
  <si>
    <t>ExtensionFileComparator</t>
  </si>
  <si>
    <t>data/processed/prompts/hublike_modularization/commons-io/org_apache_commons_io_comparator_ExtensionFileComparator.txt</t>
  </si>
  <si>
    <t>org.apache.commons.lang3.concurrent.AtomicInitializer</t>
  </si>
  <si>
    <t>data/processed/prompts/hublike_modularization/commons-lang/org_apache_commons_lang3_concurrent_AtomicInitializer_Builder.txt</t>
  </si>
  <si>
    <t>ErasureMatcher</t>
  </si>
  <si>
    <t>data/processed/prompts/hublike_modularization/byte-buddy/net_bytebuddy_matcher_ErasureMatcher.txt</t>
  </si>
  <si>
    <t>ByteBuddyLocalClassesEnhancerTask</t>
  </si>
  <si>
    <t>data/processed/prompts/hublike_modularization/byte-buddy/net_bytebuddy_build_gradle_android_ByteBuddyLocalClassesEnhancerTask.txt</t>
  </si>
  <si>
    <t>org.apache.commons.io.input.MessageDigestCalculatingInputStream</t>
  </si>
  <si>
    <t>data/processed/prompts/hublike_modularization/commons-io/org_apache_commons_io_input_MessageDigestCalculatingInputStream_Builder.txt</t>
  </si>
  <si>
    <t>Java22PostProcessor</t>
  </si>
  <si>
    <t>data/processed/prompts/hublike_modularization/javaparser/com_github_javaparser_ast_validator_postprocessors_Java22PostProcessor.txt</t>
  </si>
  <si>
    <t>com.google.zxing.pdf417.encoder</t>
  </si>
  <si>
    <t>Compaction</t>
  </si>
  <si>
    <t>data/processed/prompts/hublike_modularization/zxing/com_google_zxing_pdf417_encoder_Compaction.txt</t>
  </si>
  <si>
    <t>RecordComponent</t>
  </si>
  <si>
    <t>data/processed/prompts/hublike_modularization/byte-buddy/net_bytebuddy_description_type_RecordComponentDescription_RecordComponent.txt</t>
  </si>
  <si>
    <t>org.jsoup.select</t>
  </si>
  <si>
    <t>Nodes</t>
  </si>
  <si>
    <t>data/processed/prompts/hublike_modularization/jsoup/org_jsoup_select_Nodes.txt</t>
  </si>
  <si>
    <t>net.bytebuddy.dynamic.loading.ByteArrayClassLoader</t>
  </si>
  <si>
    <t>PrependingEnumeration</t>
  </si>
  <si>
    <t>data/processed/prompts/hublike_modularization/byte-buddy/net_bytebuddy_dynamic_loading_ByteArrayClassLoader_PrependingEnumeration.txt</t>
  </si>
  <si>
    <t>org.apache.commons.lang3.Functions</t>
  </si>
  <si>
    <t>FailableBiConsumer</t>
  </si>
  <si>
    <t>data/processed/prompts/hublike_modularization/commons-lang/org_apache_commons_lang3_Functions_FailableBiConsumer.txt</t>
  </si>
  <si>
    <t>org.apache.commons.io.output.DeferredFileOutputStream</t>
  </si>
  <si>
    <t>data/processed/prompts/hublike_modularization/commons-io/org_apache_commons_io_output_DeferredFileOutputStream_Builder.txt</t>
  </si>
  <si>
    <t>RecordPatternExprMetaModel</t>
  </si>
  <si>
    <t>data/processed/prompts/hublike_modularization/javaparser/com_github_javaparser_metamodel_RecordPatternExprMetaModel.txt</t>
  </si>
  <si>
    <t>net.bytebuddy.utility.JavaModule</t>
  </si>
  <si>
    <t>Module</t>
  </si>
  <si>
    <t>data/processed/prompts/hublike_modularization/byte-buddy/net_bytebuddy_utility_JavaModule_Module.txt</t>
  </si>
  <si>
    <t>IOStream</t>
  </si>
  <si>
    <t>data/processed/prompts/hublike_modularization/commons-io/org_apache_commons_io_function_IOStream.txt</t>
  </si>
  <si>
    <t>net.bytebuddy.implementation.bytecode.StackManipulation</t>
  </si>
  <si>
    <t>Size</t>
  </si>
  <si>
    <t>data/processed/prompts/hublike_modularization/byte-buddy/net_bytebuddy_implementation_bytecode_StackManipulation_Size.txt</t>
  </si>
  <si>
    <t>CharSequenceInputStream</t>
  </si>
  <si>
    <t>data/processed/prompts/hublike_modularization/commons-io/org_apache_commons_io_input_CharSequenceInputStream.txt</t>
  </si>
  <si>
    <t>LegacyByteBuddyLocalClassesEnhancerTask</t>
  </si>
  <si>
    <t>data/processed/prompts/hublike_modularization/byte-buddy/net_bytebuddy_build_gradle_android_LegacyByteBuddyLocalClassesEnhancerTask.txt</t>
  </si>
  <si>
    <t>data/processed/prompts/hublike_modularization/jimfs/com_google_common_jimfs_Handler.txt</t>
  </si>
  <si>
    <t>com.google.googlejavaformat.java.JavaInputAstVisitor</t>
  </si>
  <si>
    <t>data/processed/prompts/hublike_modularization/google-java-format/com_google_googlejavaformat_java_JavaInputAstVisitor_Kind.txt</t>
  </si>
  <si>
    <t>net.bytebuddy.benchmark.jmh.generated.ClassByExtensionBenchmark.benchmarkByteBuddyWithAccessor</t>
  </si>
  <si>
    <t>data/processed/prompts/hublike_modularization/byte-buddy/net_bytebuddy_benchmark_jmh_generated_ClassByExtensionBenchmark_benchmarkByteBuddyWithAccessor_jmhTest.txt</t>
  </si>
  <si>
    <t>Entry</t>
  </si>
  <si>
    <t>data/processed/prompts/hublike_modularization/byte-buddy/net_bytebuddy_asm_AsmVisitorWrapper_Entry.txt</t>
  </si>
  <si>
    <t>ForJVMMethod</t>
  </si>
  <si>
    <t>data/processed/prompts/hublike_modularization/byte-buddy/net_bytebuddy_dynamic_scaffold_MethodGraph_ForJVMMethod.txt</t>
  </si>
  <si>
    <t>StrategyParser</t>
  </si>
  <si>
    <t>data/processed/prompts/hublike_modularization/commons-lang/org_apache_commons_lang3_time_FastDateParser_StrategyParser.txt</t>
  </si>
  <si>
    <t>net.bytebuddy.asm.TypeReferenceAdjustment</t>
  </si>
  <si>
    <t>TypeReferenceMethodVisitor</t>
  </si>
  <si>
    <t>data/processed/prompts/hublike_modularization/byte-buddy/net_bytebuddy_asm_TypeReferenceAdjustment_TypeReferenceMethodVisitor.txt</t>
  </si>
  <si>
    <t>data/processed/prompts/hublike_modularization/byte-buddy/net_bytebuddy_matcher_CollectionErasureMatcher.txt</t>
  </si>
  <si>
    <t>CompilationUnitMetaModel</t>
  </si>
  <si>
    <t>data/processed/prompts/hublike_modularization/javaparser/com_github_javaparser_metamodel_CompilationUnitMetaModel.txt</t>
  </si>
  <si>
    <t>DirectorySupplier</t>
  </si>
  <si>
    <t>data/processed/prompts/hublike_modularization/jimfs/com_google_common_jimfs_FileFactory_DirectorySupplier.txt</t>
  </si>
  <si>
    <t>VariantAction</t>
  </si>
  <si>
    <t>data/processed/prompts/hublike_modularization/byte-buddy/net_bytebuddy_build_gradle_android_ByteBuddyAndroidPlugin_VariantAction.txt</t>
  </si>
  <si>
    <t>data/processed/prompts/hublike_modularization/byte-buddy/net_bytebuddy_utility_JavaConstant_Dispatcher.txt</t>
  </si>
  <si>
    <t>RetainedMethodTypeVariable</t>
  </si>
  <si>
    <t>data/processed/prompts/hublike_modularization/byte-buddy/net_bytebuddy_description_type_TypeDescription_RetainedMethodTypeVariable.txt</t>
  </si>
  <si>
    <t>FailableLongUnaryOperator</t>
  </si>
  <si>
    <t>data/processed/prompts/hublike_modularization/commons-lang/org_apache_commons_lang3_function_FailableLongUnaryOperator.txt</t>
  </si>
  <si>
    <t>com.google.googlejavaformat</t>
  </si>
  <si>
    <t>Indent</t>
  </si>
  <si>
    <t>data/processed/prompts/hublike_modularization/google-java-format/com_google_googlejavaformat_Indent.txt</t>
  </si>
  <si>
    <t>com.google.googlejavaformat.java.javadoc</t>
  </si>
  <si>
    <t>JavadocWriter</t>
  </si>
  <si>
    <t>data/processed/prompts/hublike_modularization/google-java-format/com_google_googlejavaformat_java_javadoc_JavadocWriter.txt</t>
  </si>
  <si>
    <t>com.github.javaparser.symbolsolver.reflectionmodel</t>
  </si>
  <si>
    <t>ReflectionInterfaceDeclaration</t>
  </si>
  <si>
    <t>data/processed/prompts/hublike_modularization/javaparser/com_github_javaparser_symbolsolver_reflectionmodel_ReflectionInterfaceDeclaration.txt</t>
  </si>
  <si>
    <t>com.example</t>
  </si>
  <si>
    <t>ConstructorParameterTest</t>
  </si>
  <si>
    <t>data/processed/prompts/hublike_modularization/javaparser/com_example_ConstructorParameterTest.txt</t>
  </si>
  <si>
    <t>Trivial</t>
  </si>
  <si>
    <t>data/processed/prompts/hublike_modularization/byte-buddy/net_bytebuddy_implementation_bytecode_StackManipulation_Trivial.txt</t>
  </si>
  <si>
    <t>net.bytebuddy.dynamic.loading.ClassReloadingStrategy</t>
  </si>
  <si>
    <t>Disabled</t>
  </si>
  <si>
    <t>data/processed/prompts/hublike_modularization/byte-buddy/net_bytebuddy_dynamic_loading_ClassReloadingStrategy_Disabled.txt</t>
  </si>
  <si>
    <t>MultiFormatUPCEANReader</t>
  </si>
  <si>
    <t>data/processed/prompts/hublike_modularization/zxing/com_google_zxing_oned_MultiFormatUPCEANReader.txt</t>
  </si>
  <si>
    <t>SourceZip</t>
  </si>
  <si>
    <t>data/processed/prompts/hublike_modularization/javaparser/com_github_javaparser_utils_SourceZip.txt</t>
  </si>
  <si>
    <t>JsonParser</t>
  </si>
  <si>
    <t>data/processed/prompts/hublike_modularization/gson/com_google_gson_JsonParser.txt</t>
  </si>
  <si>
    <t>data/processed/prompts/hublike_modularization/javaparser/com_github_javaparser_metamodel_JavadocCommentMetaModel.txt</t>
  </si>
  <si>
    <t>com.google.zxing.client.android.camera</t>
  </si>
  <si>
    <t>AutoFocusManager</t>
  </si>
  <si>
    <t>data/processed/prompts/hublike_modularization/zxing/com_google_zxing_client_android_camera_AutoFocusManager.txt</t>
  </si>
  <si>
    <t>com.github.javaparser.ast.observer</t>
  </si>
  <si>
    <t>AstObserverAdapter</t>
  </si>
  <si>
    <t>data/processed/prompts/hublike_modularization/javaparser/com_github_javaparser_ast_observer_AstObserverAdapter.txt</t>
  </si>
  <si>
    <t>org.adoptopenjdk.jitwatch.report</t>
  </si>
  <si>
    <t>Report</t>
  </si>
  <si>
    <t>data/processed/prompts/hublike_modularization/jitwatch/org_adoptopenjdk_jitwatch_report_Report.txt</t>
  </si>
  <si>
    <t>org.adoptopenjdk.jitwatch.histo</t>
  </si>
  <si>
    <t>AttributeNameHistoWalker</t>
  </si>
  <si>
    <t>data/processed/prompts/hublike_modularization/jitwatch/org_adoptopenjdk_jitwatch_histo_AttributeNameHistoWalker.txt</t>
  </si>
  <si>
    <t>org.jsoup.safety.Safelist</t>
  </si>
  <si>
    <t>Protocol</t>
  </si>
  <si>
    <t>data/processed/prompts/hublike_modularization/jsoup/org_jsoup_safety_Safelist_Protocol.txt</t>
  </si>
  <si>
    <t>FieldAccess</t>
  </si>
  <si>
    <t>data/processed/prompts/hublike_modularization/byte-buddy/net_bytebuddy_implementation_bytecode_member_FieldAccess.txt</t>
  </si>
  <si>
    <t>data/processed/prompts/hublike_modularization/byte-buddy/net_bytebuddy_implementation_MethodCall_ForInstrumentedMethod.txt</t>
  </si>
  <si>
    <t>data/processed/prompts/hublike_modularization/commons-lang/org_apache_commons_lang3_compare_ComparableUtils.txt</t>
  </si>
  <si>
    <t>com.google.zxing.pdf417.detector</t>
  </si>
  <si>
    <t>Detector</t>
  </si>
  <si>
    <t>data/processed/prompts/hublike_modularization/zxing/com_google_zxing_pdf417_detector_Detector.txt</t>
  </si>
  <si>
    <t>data/processed/prompts/hublike_modularization/javaparser/com_github_javaparser_metamodel_TypeParameterMetaModel.txt</t>
  </si>
  <si>
    <t>net.bytebuddy.build.gradle.android.ByteBuddyAndroidService</t>
  </si>
  <si>
    <t>Parameters</t>
  </si>
  <si>
    <t>data/processed/prompts/hublike_modularization/byte-buddy/net_bytebuddy_build_gradle_android_ByteBuddyAndroidService_Parameters.txt</t>
  </si>
  <si>
    <t>org.apache.commons.lang3.concurrent.locks</t>
  </si>
  <si>
    <t>LockingVisitors</t>
  </si>
  <si>
    <t>data/processed/prompts/hublike_modularization/commons-lang/org_apache_commons_lang3_concurrent_locks_LockingVisitors.txt</t>
  </si>
  <si>
    <t>ValidationException</t>
  </si>
  <si>
    <t>data/processed/prompts/hublike_modularization/jsoup/org_jsoup_helper_ValidationException.txt</t>
  </si>
  <si>
    <t>org.adoptopenjdk.jitwatch.ui.compilechain</t>
  </si>
  <si>
    <t>CompileChainStage</t>
  </si>
  <si>
    <t>data/processed/prompts/hublike_modularization/jitwatch/org_adoptopenjdk_jitwatch_ui_compilechain_CompileChainStage.txt</t>
  </si>
  <si>
    <t>com.github.javaparser.generator.core.visitor</t>
  </si>
  <si>
    <t>EqualsVisitorGenerator</t>
  </si>
  <si>
    <t>data/processed/prompts/hublike_modularization/javaparser/com_github_javaparser_generator_core_visitor_EqualsVisitorGenerator.txt</t>
  </si>
  <si>
    <t>org.apache.commons.lang3.event.EventUtils</t>
  </si>
  <si>
    <t>EventBindingInvocationHandler</t>
  </si>
  <si>
    <t>data/processed/prompts/hublike_modularization/commons-lang/org_apache_commons_lang3_event_EventUtils_EventBindingInvocationHandler.txt</t>
  </si>
  <si>
    <t>HasSuperTypeMatcher</t>
  </si>
  <si>
    <t>data/processed/prompts/hublike_modularization/byte-buddy/net_bytebuddy_matcher_HasSuperTypeMatcher.txt</t>
  </si>
  <si>
    <t>ThreadPredicate</t>
  </si>
  <si>
    <t>data/processed/prompts/hublike_modularization/commons-lang/org_apache_commons_lang3_ThreadUtils_ThreadPredicate.txt</t>
  </si>
  <si>
    <t>TypedValue</t>
  </si>
  <si>
    <t>data/processed/prompts/hublike_modularization/jsoup/org_jsoup_safety_Safelist_TypedValue.txt</t>
  </si>
  <si>
    <t>org.adoptopenjdk.jitwatch.jarscan.invokecount</t>
  </si>
  <si>
    <t>InvokeCountOperation</t>
  </si>
  <si>
    <t>data/processed/prompts/hublike_modularization/jitwatch/org_adoptopenjdk_jitwatch_jarscan_invokecount_InvokeCountOperation.txt</t>
  </si>
  <si>
    <t>BooleanMatcher</t>
  </si>
  <si>
    <t>data/processed/prompts/hublike_modularization/byte-buddy/net_bytebuddy_matcher_BooleanMatcher.txt</t>
  </si>
  <si>
    <t>com.google.common.jimfs.AbstractWatchService</t>
  </si>
  <si>
    <t>Event</t>
  </si>
  <si>
    <t>data/processed/prompts/hublike_modularization/jimfs/com_google_common_jimfs_AbstractWatchService_Event.txt</t>
  </si>
  <si>
    <t>com.github.javaparser.resolution.declarations</t>
  </si>
  <si>
    <t>ResolvedTypeParametrizable</t>
  </si>
  <si>
    <t>data/processed/prompts/hublike_modularization/javaparser/com_github_javaparser_resolution_declarations_ResolvedTypeParametrizable.txt</t>
  </si>
  <si>
    <t>FormattingError</t>
  </si>
  <si>
    <t>data/processed/prompts/hublike_modularization/google-java-format/com_google_googlejavaformat_FormattingError.txt</t>
  </si>
  <si>
    <t>com.github.javaparser.utils.SourceRoot</t>
  </si>
  <si>
    <t>VisitFileCallback</t>
  </si>
  <si>
    <t>data/processed/prompts/hublike_modularization/javaparser/com_github_javaparser_utils_SourceRoot_VisitFileCallback.txt</t>
  </si>
  <si>
    <t>com.google.zxing.maxicode.decoder</t>
  </si>
  <si>
    <t>data/processed/prompts/hublike_modularization/zxing/com_google_zxing_maxicode_decoder_Decoder.txt</t>
  </si>
  <si>
    <t>AbstractRandomAccessFileOrigin</t>
  </si>
  <si>
    <t>data/processed/prompts/hublike_modularization/commons-io/org_apache_commons_io_build_AbstractOrigin_AbstractRandomAccessFileOrigin.txt</t>
  </si>
  <si>
    <t>DefinedShapeMatcher</t>
  </si>
  <si>
    <t>data/processed/prompts/hublike_modularization/byte-buddy/net_bytebuddy_matcher_DefinedShapeMatcher.txt</t>
  </si>
  <si>
    <t>MultiFormatWriter</t>
  </si>
  <si>
    <t>data/processed/prompts/hublike_modularization/zxing/com_google_zxing_MultiFormatWriter.txt</t>
  </si>
  <si>
    <t>ExceptionContext</t>
  </si>
  <si>
    <t>data/processed/prompts/hublike_modularization/commons-lang/org_apache_commons_lang3_exception_ExceptionContext.txt</t>
  </si>
  <si>
    <t>implements.duplicate</t>
  </si>
  <si>
    <t>A</t>
  </si>
  <si>
    <t>data/processed/prompts/hublike_modularization/javaparser/implements_duplicate_A.txt</t>
  </si>
  <si>
    <t>com.google.gson.internal.bind</t>
  </si>
  <si>
    <t>NumberTypeAdapter</t>
  </si>
  <si>
    <t>data/processed/prompts/hublike_modularization/gson/com_google_gson_internal_bind_NumberTypeAdapter.txt</t>
  </si>
  <si>
    <t>OfConstant</t>
  </si>
  <si>
    <t>data/processed/prompts/hublike_modularization/byte-buddy/net_bytebuddy_implementation_bind_annotation_TargetMethodAnnotationDrivenBinder_OfConstant.txt</t>
  </si>
  <si>
    <t>data/processed/prompts/hublike_modularization/commons-io/org_apache_commons_io_file_SimplePathVisitor.txt</t>
  </si>
  <si>
    <t>org.jsoup.examples</t>
  </si>
  <si>
    <t>ListLinks</t>
  </si>
  <si>
    <t>data/processed/prompts/hublike_modularization/jsoup/org_jsoup_examples_ListLinks.txt</t>
  </si>
  <si>
    <t>com.google.gson.internal.bind.ReflectiveTypeAdapterFactory</t>
  </si>
  <si>
    <t>data/processed/prompts/hublike_modularization/gson/com_google_gson_internal_bind_ReflectiveTypeAdapterFactory_Adapter.txt</t>
  </si>
  <si>
    <t>org.adoptopenjdk.jitwatch.ui.compilationchooser</t>
  </si>
  <si>
    <t>CompilationChooser</t>
  </si>
  <si>
    <t>data/processed/prompts/hublike_modularization/jitwatch/org_adoptopenjdk_jitwatch_ui_compilationchooser_CompilationChooser.txt</t>
  </si>
  <si>
    <t>ParserConfiguration</t>
  </si>
  <si>
    <t>data/processed/prompts/hublike_modularization/javaparser/com_github_javaparser_ParserConfiguration.txt</t>
  </si>
  <si>
    <t>ParameterBinding</t>
  </si>
  <si>
    <t>data/processed/prompts/hublike_modularization/byte-buddy/net_bytebuddy_implementation_bind_MethodDelegationBinder_ParameterBinding.txt</t>
  </si>
  <si>
    <t>org.adoptopenjdk.jitwatch.compilation</t>
  </si>
  <si>
    <t>CompilationUtil</t>
  </si>
  <si>
    <t>data/processed/prompts/hublike_modularization/jitwatch/org_adoptopenjdk_jitwatch_compilation_CompilationUtil.txt</t>
  </si>
  <si>
    <t>Loadable</t>
  </si>
  <si>
    <t>data/processed/prompts/hublike_modularization/byte-buddy/net_bytebuddy_pool_TypePool_Loadable.txt</t>
  </si>
  <si>
    <t>WithImplicitType</t>
  </si>
  <si>
    <t>data/processed/prompts/hublike_modularization/byte-buddy/net_bytebuddy_implementation_MethodCall_WithImplicitType.txt</t>
  </si>
  <si>
    <t>main.GrandParent</t>
  </si>
  <si>
    <t>data/processed/prompts/hublike_modularization/javaparser/main_GrandParent_MyEnum.txt</t>
  </si>
  <si>
    <t>NamedPipeResponse</t>
  </si>
  <si>
    <t>data/processed/prompts/hublike_modularization/byte-buddy/net_bytebuddy_agent_VirtualMachine_NamedPipeResponse.txt</t>
  </si>
  <si>
    <t>net.bytebuddy.build.AndroidDescriptor</t>
  </si>
  <si>
    <t>data/processed/prompts/hublike_modularization/byte-buddy/net_bytebuddy_build_AndroidDescriptor_Trivial.txt</t>
  </si>
  <si>
    <t>CompilerName</t>
  </si>
  <si>
    <t>data/processed/prompts/hublike_modularization/jitwatch/org_adoptopenjdk_jitwatch_model_CompilerName.txt</t>
  </si>
  <si>
    <t>com.github.javaparser.generator.core.node</t>
  </si>
  <si>
    <t>ReplaceMethodGenerator</t>
  </si>
  <si>
    <t>data/processed/prompts/hublike_modularization/javaparser/com_github_javaparser_generator_core_node_ReplaceMethodGenerator.txt</t>
  </si>
  <si>
    <t>com.google.zxing.pdf417.decoder.ec</t>
  </si>
  <si>
    <t>ErrorCorrection</t>
  </si>
  <si>
    <t>data/processed/prompts/hublike_modularization/zxing/com_google_zxing_pdf417_decoder_ec_ErrorCorrection.txt</t>
  </si>
  <si>
    <t>data/processed/prompts/hublike_modularization/byte-buddy/net_bytebuddy_build_Plugin_CompoundIterator.txt</t>
  </si>
  <si>
    <t>FailableIntUnaryOperator</t>
  </si>
  <si>
    <t>data/processed/prompts/hublike_modularization/commons-lang/org_apache_commons_lang3_function_FailableIntUnaryOperator.txt</t>
  </si>
  <si>
    <t>com.google.zxing.client.android.share</t>
  </si>
  <si>
    <t>BookmarkPickerActivity</t>
  </si>
  <si>
    <t>data/processed/prompts/hublike_modularization/zxing/com_google_zxing_client_android_share_BookmarkPickerActivity.txt</t>
  </si>
  <si>
    <t>DecodeServlet</t>
  </si>
  <si>
    <t>data/processed/prompts/hublike_modularization/zxing/com_google_zxing_web_DecodeServlet.txt</t>
  </si>
  <si>
    <t>ForDetachedTypes</t>
  </si>
  <si>
    <t>data/processed/prompts/hublike_modularization/byte-buddy/net_bytebuddy_description_type_TypeList_ForDetachedTypes.txt</t>
  </si>
  <si>
    <t>AttributeWithValueContaining</t>
  </si>
  <si>
    <t>data/processed/prompts/hublike_modularization/jsoup/org_jsoup_select_Evaluator_AttributeWithValueContaining.txt</t>
  </si>
  <si>
    <t>(default package).EnumWithInnerType</t>
  </si>
  <si>
    <t>EnumInner</t>
  </si>
  <si>
    <t>data/processed/prompts/hublike_modularization/javaparser/(default package)_EnumWithInnerType_EnumInner.txt</t>
  </si>
  <si>
    <t>AbstractTextViewerStage</t>
  </si>
  <si>
    <t>data/processed/prompts/hublike_modularization/jitwatch/org_adoptopenjdk_jitwatch_ui_viewer_AbstractTextViewerStage.txt</t>
  </si>
  <si>
    <t>net.bytebuddy.ClassFileVersion</t>
  </si>
  <si>
    <t>Resolver</t>
  </si>
  <si>
    <t>data/processed/prompts/hublike_modularization/byte-buddy/net_bytebuddy_ClassFileVersion_Resolver.txt</t>
  </si>
  <si>
    <t>com.google.zxing.integration.android</t>
  </si>
  <si>
    <t>IntentResult</t>
  </si>
  <si>
    <t>data/processed/prompts/hublike_modularization/zxing/com_google_zxing_integration_android_IntentResult.txt</t>
  </si>
  <si>
    <t>ContainsWholeOwnText</t>
  </si>
  <si>
    <t>data/processed/prompts/hublike_modularization/jsoup/org_jsoup_select_Evaluator_ContainsWholeOwnText.txt</t>
  </si>
  <si>
    <t>data/processed/prompts/hublike_modularization/jimfs/com_google_common_jimfs_AbstractWatchService_State.txt</t>
  </si>
  <si>
    <t>Class</t>
  </si>
  <si>
    <t>data/processed/prompts/hublike_modularization/jsoup/org_jsoup_select_Evaluator_Class.txt</t>
  </si>
  <si>
    <t>org.adoptopenjdk.jitwatch.core.JITWatchConfig</t>
  </si>
  <si>
    <t>BackgroundCompilation</t>
  </si>
  <si>
    <t>data/processed/prompts/hublike_modularization/jitwatch/org_adoptopenjdk_jitwatch_core_JITWatchConfig_BackgroundCompilation.txt</t>
  </si>
  <si>
    <t>data/processed/prompts/hublike_modularization/zxing/com_google_zxing_datamatrix_decoder_Decoder.txt</t>
  </si>
  <si>
    <t>FailableDoublePredicate</t>
  </si>
  <si>
    <t>data/processed/prompts/hublike_modularization/commons-lang/org_apache_commons_lang3_function_FailableDoublePredicate.txt</t>
  </si>
  <si>
    <t>data/processed/prompts/hublike_modularization/byte-buddy/net_bytebuddy_description_method_ParameterList_OfLegacyVmMethod.txt</t>
  </si>
  <si>
    <t>com.github.javaparser.printer.lexicalpreservation</t>
  </si>
  <si>
    <t>ChildTextElement</t>
  </si>
  <si>
    <t>data/processed/prompts/hublike_modularization/javaparser/com_github_javaparser_printer_lexicalpreservation_ChildTextElement.txt</t>
  </si>
  <si>
    <t>FieldDefinitionAdapter</t>
  </si>
  <si>
    <t>data/processed/prompts/hublike_modularization/byte-buddy/net_bytebuddy_dynamic_DynamicType_FieldDefinitionAdapter.txt</t>
  </si>
  <si>
    <t>InjectionDispatcher</t>
  </si>
  <si>
    <t>data/processed/prompts/hublike_modularization/byte-buddy/net_bytebuddy_dynamic_loading_ClassLoadingStrategy_InjectionDispatcher.txt</t>
  </si>
  <si>
    <t>com.google.googlejavaformat.java.RemoveUnusedImports</t>
  </si>
  <si>
    <t>UnusedImportScanner</t>
  </si>
  <si>
    <t>data/processed/prompts/hublike_modularization/google-java-format/com_google_googlejavaformat_java_RemoveUnusedImports_UnusedImportScanner.txt</t>
  </si>
  <si>
    <t>data/processed/prompts/hublike_modularization/javaparser/com_github_javaparser_resolution_logic_MethodResolutionLogic.txt</t>
  </si>
  <si>
    <t>data/processed/prompts/hublike_modularization/gson/com_google_gson_internal_bind_CollectionTypeAdapterFactory_Adapter.txt</t>
  </si>
  <si>
    <t>data/processed/prompts/hublike_modularization/javaparser/com_packageName_ClassInPackage.txt</t>
  </si>
  <si>
    <t>Simple</t>
  </si>
  <si>
    <t>data/processed/prompts/hublike_modularization/byte-buddy/net_bytebuddy_implementation_InvokeDynamic_Simple.txt</t>
  </si>
  <si>
    <t>CompilerJRuby</t>
  </si>
  <si>
    <t>data/processed/prompts/hublike_modularization/jitwatch/org_adoptopenjdk_jitwatch_process_compiler_CompilerJRuby.txt</t>
  </si>
  <si>
    <t>org.adoptopenjdk.jitwatch.ui.graphing</t>
  </si>
  <si>
    <t>CodeCacheStage</t>
  </si>
  <si>
    <t>data/processed/prompts/hublike_modularization/jitwatch/org_adoptopenjdk_jitwatch_ui_graphing_CodeCacheStage.txt</t>
  </si>
  <si>
    <t>ResolvedDeclaration</t>
  </si>
  <si>
    <t>data/processed/prompts/hublike_modularization/javaparser/com_github_javaparser_resolution_declarations_ResolvedDeclaration.txt</t>
  </si>
  <si>
    <t>foo.bar.AnInterface</t>
  </si>
  <si>
    <t>ListChangeType</t>
  </si>
  <si>
    <t>data/processed/prompts/hublike_modularization/javaparser/foo_bar_AnInterface_ListChangeType.txt</t>
  </si>
  <si>
    <t>(default package).PartialEscapeFail</t>
  </si>
  <si>
    <t>EscapeConsumer</t>
  </si>
  <si>
    <t>data/processed/prompts/hublike_modularization/jitwatch/(default package)_PartialEscapeFail_EscapeConsumer.txt</t>
  </si>
  <si>
    <t>Java24PostProcessor</t>
  </si>
  <si>
    <t>data/processed/prompts/hublike_modularization/javaparser/com_github_javaparser_ast_validator_postprocessors_Java24PostProcessor.txt</t>
  </si>
  <si>
    <t>data/processed/prompts/hublike_modularization/byte-buddy/net_bytebuddy_implementation_MethodAccessorFactory_Illegal.txt</t>
  </si>
  <si>
    <t>data/processed/prompts/hublike_modularization/byte-buddy/net_bytebuddy_NamingStrategy_AbstractBase.txt</t>
  </si>
  <si>
    <t>VoidVisitorAdapterGenerator</t>
  </si>
  <si>
    <t>data/processed/prompts/hublike_modularization/javaparser/com_github_javaparser_generator_core_visitor_VoidVisitorAdapterGenerator.txt</t>
  </si>
  <si>
    <t>Defined</t>
  </si>
  <si>
    <t>data/processed/prompts/hublike_modularization/byte-buddy/net_bytebuddy_implementation_bytecode_member_FieldAccess_Defined.txt</t>
  </si>
  <si>
    <t>ReflectionAccessFilterHelper</t>
  </si>
  <si>
    <t>data/processed/prompts/hublike_modularization/gson/com_google_gson_internal_ReflectionAccessFilterHelper.txt</t>
  </si>
  <si>
    <t>ForNullValue</t>
  </si>
  <si>
    <t>data/processed/prompts/hublike_modularization/byte-buddy/net_bytebuddy_implementation_InvokeDynamic_ForNullValue.txt</t>
  </si>
  <si>
    <t>Uncheck</t>
  </si>
  <si>
    <t>data/processed/prompts/hublike_modularization/commons-io/org_apache_commons_io_function_Uncheck.txt</t>
  </si>
  <si>
    <t>CaptureActivity</t>
  </si>
  <si>
    <t>data/processed/prompts/hublike_modularization/zxing/com_google_zxing_client_android_CaptureActivity.txt</t>
  </si>
  <si>
    <t>DocumentType</t>
  </si>
  <si>
    <t>data/processed/prompts/hublike_modularization/jsoup/org_jsoup_nodes_DocumentType.txt</t>
  </si>
  <si>
    <t>ForLegacyAndroid</t>
  </si>
  <si>
    <t>data/processed/prompts/hublike_modularization/byte-buddy/net_bytebuddy_build_gradle_android_ByteBuddyAndroidPlugin_ForLegacyAndroid.txt</t>
  </si>
  <si>
    <t>SimpleInliningTest</t>
  </si>
  <si>
    <t>data/processed/prompts/hublike_modularization/jitwatch/(default package)_SimpleInliningTest.txt</t>
  </si>
  <si>
    <t>com.github.javaparser.ast.nodeTypes</t>
  </si>
  <si>
    <t>NodeWithTraversableScope</t>
  </si>
  <si>
    <t>data/processed/prompts/hublike_modularization/javaparser/com_github_javaparser_ast_nodeTypes_NodeWithTraversableScope.txt</t>
  </si>
  <si>
    <t>GenericGF</t>
  </si>
  <si>
    <t>data/processed/prompts/hublike_modularization/zxing/com_google_zxing_common_reedsolomon_GenericGF.txt</t>
  </si>
  <si>
    <t>ForTypeAnnotations</t>
  </si>
  <si>
    <t>data/processed/prompts/hublike_modularization/byte-buddy/net_bytebuddy_implementation_attribute_AnnotationAppender_ForTypeAnnotations.txt</t>
  </si>
  <si>
    <t>data/processed/prompts/hublike_modularization/byte-buddy/net_bytebuddy_agent_ByteBuddyAgent_Disabled.txt</t>
  </si>
  <si>
    <t>net.bytebuddy.dynamic.loading.ClassFilePostProcessor</t>
  </si>
  <si>
    <t>ForClassFileTransformer</t>
  </si>
  <si>
    <t>data/processed/prompts/hublike_modularization/byte-buddy/net_bytebuddy_dynamic_loading_ClassFilePostProcessor_ForClassFileTransformer.txt</t>
  </si>
  <si>
    <t>LazyInterface</t>
  </si>
  <si>
    <t>data/processed/prompts/hublike_modularization/byte-buddy/net_bytebuddy_pool_TypePool_LazyInterface.txt</t>
  </si>
  <si>
    <t>org.apache.commons.lang3.concurrent.locks.LockingVisitors</t>
  </si>
  <si>
    <t>LockVisitor</t>
  </si>
  <si>
    <t>data/processed/prompts/hublike_modularization/commons-lang/org_apache_commons_lang3_concurrent_locks_LockingVisitors_LockVisitor.txt</t>
  </si>
  <si>
    <t>com.google.zxing.pdf417</t>
  </si>
  <si>
    <t>PDF417Common</t>
  </si>
  <si>
    <t>data/processed/prompts/hublike_modularization/zxing/com_google_zxing_pdf417_PDF417Common.txt</t>
  </si>
  <si>
    <t>DefaultCacheStats</t>
  </si>
  <si>
    <t>data/processed/prompts/hublike_modularization/javaparser/com_github_javaparser_symbolsolver_cache_DefaultCacheStats.txt</t>
  </si>
  <si>
    <t>ForFolder</t>
  </si>
  <si>
    <t>data/processed/prompts/hublike_modularization/byte-buddy/net_bytebuddy_dynamic_ClassFileLocator_ForFolder.txt</t>
  </si>
  <si>
    <t>data/processed/prompts/hublike_modularization/javaparser/(default package)_InnerClassDotExpressions_InnerClass.txt</t>
  </si>
  <si>
    <t>LazyParameterDescription</t>
  </si>
  <si>
    <t>data/processed/prompts/hublike_modularization/byte-buddy/net_bytebuddy_pool_TypePool_LazyParameterDescription.txt</t>
  </si>
  <si>
    <t>OfGivenMethod</t>
  </si>
  <si>
    <t>data/processed/prompts/hublike_modularization/byte-buddy/net_bytebuddy_asm_MemberSubstitution_OfGivenMethod.txt</t>
  </si>
  <si>
    <t>ITFWriter</t>
  </si>
  <si>
    <t>data/processed/prompts/hublike_modularization/zxing/com_google_zxing_oned_ITFWriter.txt</t>
  </si>
  <si>
    <t>ConstantInitializer</t>
  </si>
  <si>
    <t>data/processed/prompts/hublike_modularization/commons-lang/org_apache_commons_lang3_concurrent_ConstantInitializer.txt</t>
  </si>
  <si>
    <t>org.jsoup.select.StructuralEvaluator</t>
  </si>
  <si>
    <t>Not</t>
  </si>
  <si>
    <t>data/processed/prompts/hublike_modularization/jsoup/org_jsoup_select_StructuralEvaluator_Not.txt</t>
  </si>
  <si>
    <t>ForClassFileVersion</t>
  </si>
  <si>
    <t>data/processed/prompts/hublike_modularization/byte-buddy/net_bytebuddy_dynamic_scaffold_TypeWriter_ForClassFileVersion.txt</t>
  </si>
  <si>
    <t>BlockParsedResult</t>
  </si>
  <si>
    <t>data/processed/prompts/hublike_modularization/zxing/com_google_zxing_oned_rss_expanded_decoders_BlockParsedResult.txt</t>
  </si>
  <si>
    <t>FailableDoubleToLongFunction</t>
  </si>
  <si>
    <t>data/processed/prompts/hublike_modularization/commons-lang/org_apache_commons_lang3_function_FailableDoubleToLongFunction.txt</t>
  </si>
  <si>
    <t>FailableObjIntConsumer</t>
  </si>
  <si>
    <t>data/processed/prompts/hublike_modularization/commons-lang/org_apache_commons_lang3_function_FailableObjIntConsumer.txt</t>
  </si>
  <si>
    <t>com.github.javaparser.resolution.types</t>
  </si>
  <si>
    <t>ResolvedArrayType</t>
  </si>
  <si>
    <t>data/processed/prompts/hublike_modularization/javaparser/com_github_javaparser_resolution_types_ResolvedArrayType.txt</t>
  </si>
  <si>
    <t>NodeUtils</t>
  </si>
  <si>
    <t>data/processed/prompts/hublike_modularization/jsoup/org_jsoup_nodes_NodeUtils.txt</t>
  </si>
  <si>
    <t>SMSTOMMSTOResultParser</t>
  </si>
  <si>
    <t>data/processed/prompts/hublike_modularization/zxing/com_google_zxing_client_result_SMSTOMMSTOResultParser.txt</t>
  </si>
  <si>
    <t>ObjectToStringComparator</t>
  </si>
  <si>
    <t>data/processed/prompts/hublike_modularization/commons-lang/org_apache_commons_lang3_compare_ObjectToStringComparator.txt</t>
  </si>
  <si>
    <t>TextParsedResult</t>
  </si>
  <si>
    <t>data/processed/prompts/hublike_modularization/zxing/com_google_zxing_client_result_TextParsedResult.txt</t>
  </si>
  <si>
    <t>org.adoptopenjdk.jitwatch.ui.parserchooser</t>
  </si>
  <si>
    <t>IParserSelectedListener</t>
  </si>
  <si>
    <t>data/processed/prompts/hublike_modularization/jitwatch/org_adoptopenjdk_jitwatch_ui_parserchooser_IParserSelectedListener.txt</t>
  </si>
  <si>
    <t>SourceRoot</t>
  </si>
  <si>
    <t>data/processed/prompts/hublike_modularization/javaparser/com_github_javaparser_utils_SourceRoot.txt</t>
  </si>
  <si>
    <t>com.github.javaparser.resolution.types.parametrization</t>
  </si>
  <si>
    <t>ResolvedTypeParameterValueProvider</t>
  </si>
  <si>
    <t>data/processed/prompts/hublike_modularization/javaparser/com_github_javaparser_resolution_types_parametrization_ResolvedTypeParameterValueProvider.txt</t>
  </si>
  <si>
    <t>ForNonArrayType</t>
  </si>
  <si>
    <t>data/processed/prompts/hublike_modularization/byte-buddy/net_bytebuddy_description_annotation_AnnotationValue_ForNonArrayType.txt</t>
  </si>
  <si>
    <t>ShiftRight</t>
  </si>
  <si>
    <t>data/processed/prompts/hublike_modularization/byte-buddy/net_bytebuddy_implementation_bytecode_ShiftRight.txt</t>
  </si>
  <si>
    <t>TreeBuilder</t>
  </si>
  <si>
    <t>data/processed/prompts/hublike_modularization/jsoup/org_jsoup_parser_TreeBuilder.txt</t>
  </si>
  <si>
    <t>data/processed/prompts/hublike_modularization/byte-buddy/net_bytebuddy_implementation_attribute_MethodAttributeAppender_Explicit.txt</t>
  </si>
  <si>
    <t>com.github.javaparser.printer.configuration</t>
  </si>
  <si>
    <t>PrettyPrinterConfiguration</t>
  </si>
  <si>
    <t>data/processed/prompts/hublike_modularization/javaparser/com_github_javaparser_printer_configuration_PrettyPrinterConfiguration.txt</t>
  </si>
  <si>
    <t>data/processed/prompts/hublike_modularization/zxing/com_google_zxing_datamatrix_decoder_Version_ECBlocks.txt</t>
  </si>
  <si>
    <t>AstObserver</t>
  </si>
  <si>
    <t>data/processed/prompts/hublike_modularization/javaparser/com_github_javaparser_ast_observer_AstObserver.txt</t>
  </si>
  <si>
    <t>net.bytebuddy.implementation.bind</t>
  </si>
  <si>
    <t>MethodNameEqualityResolver</t>
  </si>
  <si>
    <t>data/processed/prompts/hublike_modularization/byte-buddy/net_bytebuddy_implementation_bind_MethodNameEqualityResolver.txt</t>
  </si>
  <si>
    <t>org.adoptopenjdk.jitwatch.chain</t>
  </si>
  <si>
    <t>CompileNode</t>
  </si>
  <si>
    <t>data/processed/prompts/hublike_modularization/jitwatch/org_adoptopenjdk_jitwatch_chain_CompileNode.txt</t>
  </si>
  <si>
    <t>OwnerTypeLocatable</t>
  </si>
  <si>
    <t>data/processed/prompts/hublike_modularization/byte-buddy/net_bytebuddy_implementation_FieldAccessor_OwnerTypeLocatable.txt</t>
  </si>
  <si>
    <t>ModifierValidator</t>
  </si>
  <si>
    <t>data/processed/prompts/hublike_modularization/javaparser/com_github_javaparser_ast_validator_language_level_validations_chunks_ModifierValidator.txt</t>
  </si>
  <si>
    <t>com.example.NoSerializedNameMain</t>
  </si>
  <si>
    <t>TestClassHasArgsConstructor</t>
  </si>
  <si>
    <t>data/processed/prompts/hublike_modularization/gson/com_example_NoSerializedNameMain_TestClassHasArgsConstructor.txt</t>
  </si>
  <si>
    <t>Target</t>
  </si>
  <si>
    <t>data/processed/prompts/hublike_modularization/byte-buddy/net_bytebuddy_dynamic_loading_ClassInjector_Target.txt</t>
  </si>
  <si>
    <t>com.google.common.jimfs.OwnerAttributeProvider</t>
  </si>
  <si>
    <t>data/processed/prompts/hublike_modularization/jimfs/com_google_common_jimfs_OwnerAttributeProvider_View.txt</t>
  </si>
  <si>
    <t>com.google.googlejavaformat.java.ModifierOrderer</t>
  </si>
  <si>
    <t>ModifierTokens</t>
  </si>
  <si>
    <t>data/processed/prompts/hublike_modularization/google-java-format/com_google_googlejavaformat_java_ModifierOrderer_ModifierTokens.txt</t>
  </si>
  <si>
    <t>org.adoptopenjdk.jitwatch.parser.hotspot</t>
  </si>
  <si>
    <t>HotSpotLogParser</t>
  </si>
  <si>
    <t>data/processed/prompts/hublike_modularization/jitwatch/org_adoptopenjdk_jitwatch_parser_hotspot_HotSpotLogParser.txt</t>
  </si>
  <si>
    <t>LoopUnroll</t>
  </si>
  <si>
    <t>data/processed/prompts/hublike_modularization/jitwatch/(default package)_LoopUnroll.txt</t>
  </si>
  <si>
    <t>DefaultValue</t>
  </si>
  <si>
    <t>data/processed/prompts/hublike_modularization/byte-buddy/net_bytebuddy_implementation_bytecode_constant_DefaultValue.txt</t>
  </si>
  <si>
    <t>data/processed/prompts/hublike_modularization/byte-buddy/net_bytebuddy_description_type_TypeList_Explicit.txt</t>
  </si>
  <si>
    <t>SimpleParameterAnnotationAdapter</t>
  </si>
  <si>
    <t>data/processed/prompts/hublike_modularization/byte-buddy/net_bytebuddy_dynamic_DynamicType_SimpleParameterAnnotationAdapter.txt</t>
  </si>
  <si>
    <t>ForLoadedExecutableParameterType</t>
  </si>
  <si>
    <t>data/processed/prompts/hublike_modularization/byte-buddy/net_bytebuddy_description_type_TypeDescription_ForLoadedExecutableParameterType.txt</t>
  </si>
  <si>
    <t>TypeVariableSubstitutor</t>
  </si>
  <si>
    <t>data/processed/prompts/hublike_modularization/byte-buddy/net_bytebuddy_description_type_TypeDescription_TypeVariableSubstitutor.txt</t>
  </si>
  <si>
    <t>TypeReferenceClassVisitor</t>
  </si>
  <si>
    <t>data/processed/prompts/hublike_modularization/byte-buddy/net_bytebuddy_asm_TypeReferenceAdjustment_TypeReferenceClassVisitor.txt</t>
  </si>
  <si>
    <t>AbstractFileComparator</t>
  </si>
  <si>
    <t>data/processed/prompts/hublike_modularization/commons-io/org_apache_commons_io_comparator_AbstractFileComparator.txt</t>
  </si>
  <si>
    <t>ForRecord</t>
  </si>
  <si>
    <t>data/processed/prompts/hublike_modularization/byte-buddy/net_bytebuddy_dynamic_scaffold_TypeWriter_ForRecord.txt</t>
  </si>
  <si>
    <t>(default package).Issue300</t>
  </si>
  <si>
    <t>data/processed/prompts/hublike_modularization/javaparser/(default package)_Issue300_B.txt</t>
  </si>
  <si>
    <t>net.bytebuddy.utility.AsmClassReader</t>
  </si>
  <si>
    <t>data/processed/prompts/hublike_modularization/byte-buddy/net_bytebuddy_utility_AsmClassReader_Default.txt</t>
  </si>
  <si>
    <t>a</t>
  </si>
  <si>
    <t>RefClass2</t>
  </si>
  <si>
    <t>data/processed/prompts/hublike_modularization/javaparser/a_RefClass2.txt</t>
  </si>
  <si>
    <t>Solver</t>
  </si>
  <si>
    <t>data/processed/prompts/hublike_modularization/javaparser/com_github_javaparser_resolution_Solver.txt</t>
  </si>
  <si>
    <t>data/processed/prompts/hublike_modularization/javaparser/issue241_TypeWithMemberType_MemberInterface.txt</t>
  </si>
  <si>
    <t>Foo</t>
  </si>
  <si>
    <t>data/processed/prompts/hublike_modularization/javaparser/foo_Foo.txt</t>
  </si>
  <si>
    <t>ResolvedWildcard</t>
  </si>
  <si>
    <t>data/processed/prompts/hublike_modularization/javaparser/com_github_javaparser_resolution_types_ResolvedWildcard.txt</t>
  </si>
  <si>
    <t>Log</t>
  </si>
  <si>
    <t>data/processed/prompts/hublike_modularization/javaparser/com_github_javaparser_utils_Log.txt</t>
  </si>
  <si>
    <t>com.github.javaparser.symbolsolver.javaparsermodel.declarators</t>
  </si>
  <si>
    <t>TypePatternSymbolDeclarator</t>
  </si>
  <si>
    <t>data/processed/prompts/hublike_modularization/javaparser/com_github_javaparser_symbolsolver_javaparsermodel_declarators_TypePatternSymbolDeclarator.txt</t>
  </si>
  <si>
    <t>BinaryExprMetaModel</t>
  </si>
  <si>
    <t>data/processed/prompts/hublike_modularization/javaparser/com_github_javaparser_metamodel_BinaryExprMetaModel.txt</t>
  </si>
  <si>
    <t>JsonNode</t>
  </si>
  <si>
    <t>data/processed/prompts/hublike_modularization/javaparser/com_github_javaparser_serialization_JavaParserJsonSerializer_JsonNode.txt</t>
  </si>
  <si>
    <t>CameraManager</t>
  </si>
  <si>
    <t>data/processed/prompts/hublike_modularization/zxing/com_google_zxing_client_android_camera_CameraManager.txt</t>
  </si>
  <si>
    <t>net.bytebuddy.implementation.FixedValue</t>
  </si>
  <si>
    <t>ForOriginType</t>
  </si>
  <si>
    <t>data/processed/prompts/hublike_modularization/byte-buddy/net_bytebuddy_implementation_FixedValue_ForOriginType.txt</t>
  </si>
  <si>
    <t>IndexEquals</t>
  </si>
  <si>
    <t>data/processed/prompts/hublike_modularization/jsoup/org_jsoup_select_Evaluator_IndexEquals.txt</t>
  </si>
  <si>
    <t>data/processed/prompts/hublike_modularization/byte-buddy/net_bytebuddy_dynamic_ClassFileLocator_Compound.txt</t>
  </si>
  <si>
    <t>data/processed/prompts/hublike_modularization/byte-buddy/net_bytebuddy_dynamic_loading_ByteArrayClassLoader_CreationAction.txt</t>
  </si>
  <si>
    <t>com.github.javaparser.generator.core.other</t>
  </si>
  <si>
    <t>BndGenerator</t>
  </si>
  <si>
    <t>data/processed/prompts/hublike_modularization/javaparser/com_github_javaparser_generator_core_other_BndGenerator.txt</t>
  </si>
  <si>
    <t>net.bytebuddy.dynamic.loading.MultipleParentClassLoader</t>
  </si>
  <si>
    <t>CompoundEnumeration</t>
  </si>
  <si>
    <t>data/processed/prompts/hublike_modularization/byte-buddy/net_bytebuddy_dynamic_loading_MultipleParentClassLoader_CompoundEnumeration.txt</t>
  </si>
  <si>
    <t>MultiBackgroundInitializer</t>
  </si>
  <si>
    <t>data/processed/prompts/hublike_modularization/commons-lang/org_apache_commons_lang3_concurrent_MultiBackgroundInitializer.txt</t>
  </si>
  <si>
    <t>ByteBuddyTransformationConfiguration</t>
  </si>
  <si>
    <t>data/processed/prompts/hublike_modularization/byte-buddy/net_bytebuddy_build_gradle_android_ByteBuddyAndroidPlugin_ByteBuddyTransformationConfiguration.txt</t>
  </si>
  <si>
    <t>data/processed/prompts/hublike_modularization/javaparser/com_github_javaparser_resolution_logic_ConstructorResolutionLogic.txt</t>
  </si>
  <si>
    <t>net.bytebuddy.build.RenamingPlugin</t>
  </si>
  <si>
    <t>data/processed/prompts/hublike_modularization/byte-buddy/net_bytebuddy_build_RenamingPlugin_NoOp.txt</t>
  </si>
  <si>
    <t>Wrapping</t>
  </si>
  <si>
    <t>data/processed/prompts/hublike_modularization/byte-buddy/net_bytebuddy_android_AndroidClassLoadingStrategy_Wrapping.txt</t>
  </si>
  <si>
    <t>FailableObjLongConsumer</t>
  </si>
  <si>
    <t>data/processed/prompts/hublike_modularization/commons-lang/org_apache_commons_lang3_function_FailableObjLongConsumer.txt</t>
  </si>
  <si>
    <t>PropagatingAstObserver</t>
  </si>
  <si>
    <t>data/processed/prompts/hublike_modularization/javaparser/com_github_javaparser_ast_observer_PropagatingAstObserver.txt</t>
  </si>
  <si>
    <t>CsmComment</t>
  </si>
  <si>
    <t>data/processed/prompts/hublike_modularization/javaparser/com_github_javaparser_printer_concretesyntaxmodel_CsmComment.txt</t>
  </si>
  <si>
    <t>net.bytebuddy.implementation.InvocationHandlerAdapter</t>
  </si>
  <si>
    <t>AssignerConfigurable</t>
  </si>
  <si>
    <t>data/processed/prompts/hublike_modularization/byte-buddy/net_bytebuddy_implementation_InvocationHandlerAdapter_AssignerConfigurable.txt</t>
  </si>
  <si>
    <t>com.github.javaparser.symbolsolver.reflectionmodel.comparators</t>
  </si>
  <si>
    <t>MethodComparator</t>
  </si>
  <si>
    <t>data/processed/prompts/hublike_modularization/javaparser/com_github_javaparser_symbolsolver_reflectionmodel_comparators_MethodComparator.txt</t>
  </si>
  <si>
    <t>LongConstant</t>
  </si>
  <si>
    <t>data/processed/prompts/hublike_modularization/byte-buddy/net_bytebuddy_implementation_bytecode_constant_LongConstant.txt</t>
  </si>
  <si>
    <t>BoundingBox</t>
  </si>
  <si>
    <t>data/processed/prompts/hublike_modularization/zxing/com_google_zxing_pdf417_decoder_BoundingBox.txt</t>
  </si>
  <si>
    <t>ConcreteEnum</t>
  </si>
  <si>
    <t>data/processed/prompts/hublike_modularization/javaparser/com_github_javaparser_javasymbolsolver_javassist_symbols_main_jar_ConcreteEnum.txt</t>
  </si>
  <si>
    <t>data/processed/prompts/hublike_modularization/zxing/com_google_zxing_common_reedsolomon_ReedSolomonEncoder.txt</t>
  </si>
  <si>
    <t>net.bytebuddy.dynamic.scaffold.InstrumentedType</t>
  </si>
  <si>
    <t>WithFlexibleName</t>
  </si>
  <si>
    <t>data/processed/prompts/hublike_modularization/byte-buddy/net_bytebuddy_dynamic_scaffold_InstrumentedType_WithFlexibleName.txt</t>
  </si>
  <si>
    <t>Lookup</t>
  </si>
  <si>
    <t>data/processed/prompts/hublike_modularization/byte-buddy/net_bytebuddy_dynamic_loading_ClassInjector_Lookup.txt</t>
  </si>
  <si>
    <t>org.adoptopenjdk.jitwatch.ui.sandbox</t>
  </si>
  <si>
    <t>VMLanguageConfigStage</t>
  </si>
  <si>
    <t>data/processed/prompts/hublike_modularization/jitwatch/org_adoptopenjdk_jitwatch_ui_sandbox_VMLanguageConfigStage.txt</t>
  </si>
  <si>
    <t>AmbientLightManager</t>
  </si>
  <si>
    <t>data/processed/prompts/hublike_modularization/zxing/com_google_zxing_client_android_AmbientLightManager.txt</t>
  </si>
  <si>
    <t>org.adoptopenjdk.jitwatch.model.bytecode</t>
  </si>
  <si>
    <t>BCParamConstant</t>
  </si>
  <si>
    <t>data/processed/prompts/hublike_modularization/jitwatch/org_adoptopenjdk_jitwatch_model_bytecode_BCParamConstant.txt</t>
  </si>
  <si>
    <t>main</t>
  </si>
  <si>
    <t>GrandParent</t>
  </si>
  <si>
    <t>data/processed/prompts/hublike_modularization/javaparser/main_GrandParent.txt</t>
  </si>
  <si>
    <t>RecordAdapter</t>
  </si>
  <si>
    <t>data/processed/prompts/hublike_modularization/gson/com_google_gson_internal_bind_ReflectiveTypeAdapterFactory_RecordAdapter.txt</t>
  </si>
  <si>
    <t>ForAndroidPVm</t>
  </si>
  <si>
    <t>data/processed/prompts/hublike_modularization/byte-buddy/net_bytebuddy_android_AndroidClassLoadingStrategy_ForAndroidPVm.txt</t>
  </si>
  <si>
    <t>UsingUnsafe</t>
  </si>
  <si>
    <t>data/processed/prompts/hublike_modularization/byte-buddy/net_bytebuddy_dynamic_loading_ClassInjector_UsingUnsafe.txt</t>
  </si>
  <si>
    <t>data/processed/prompts/hublike_modularization/javaparser/com_github_javaparser_metamodel_StringLiteralExprMetaModel.txt</t>
  </si>
  <si>
    <t>Encoder</t>
  </si>
  <si>
    <t>data/processed/prompts/hublike_modularization/zxing/com_google_zxing_aztec_encoder_Encoder.txt</t>
  </si>
  <si>
    <t>data/processed/prompts/hublike_modularization/byte-buddy/net_bytebuddy_implementation_bytecode_StackManipulation_Illegal.txt</t>
  </si>
  <si>
    <t>implements.duplicate.A</t>
  </si>
  <si>
    <t>DuplicateTypeName</t>
  </si>
  <si>
    <t>data/processed/prompts/hublike_modularization/javaparser/implements_duplicate_A_DuplicateTypeName.txt</t>
  </si>
  <si>
    <t>com.google.zxing.datamatrix.encoder.MinimalEncoder</t>
  </si>
  <si>
    <t>Result</t>
  </si>
  <si>
    <t>data/processed/prompts/hublike_modularization/zxing/com_google_zxing_datamatrix_encoder_MinimalEncoder_Result.txt</t>
  </si>
  <si>
    <t>Composable</t>
  </si>
  <si>
    <t>data/processed/prompts/hublike_modularization/byte-buddy/net_bytebuddy_implementation_Implementation_Composable.txt</t>
  </si>
  <si>
    <t>WithoutBody</t>
  </si>
  <si>
    <t>data/processed/prompts/hublike_modularization/byte-buddy/net_bytebuddy_dynamic_scaffold_TypeWriter_WithoutBody.txt</t>
  </si>
  <si>
    <t>data/processed/prompts/hublike_modularization/jitwatch/(default package)_PolymorphismTest_Quarter.txt</t>
  </si>
  <si>
    <t>VariableDeclaratorContext</t>
  </si>
  <si>
    <t>data/processed/prompts/hublike_modularization/javaparser/com_github_javaparser_symbolsolver_javaparsermodel_contexts_VariableDeclaratorContext.txt</t>
  </si>
  <si>
    <t>org.jsoup.parser.Token</t>
  </si>
  <si>
    <t>EndTag</t>
  </si>
  <si>
    <t>data/processed/prompts/hublike_modularization/jsoup/org_jsoup_parser_Token_EndTag.txt</t>
  </si>
  <si>
    <t>AllowLeadingBlankLine</t>
  </si>
  <si>
    <t>data/processed/prompts/hublike_modularization/google-java-format/com_google_googlejavaformat_java_JavaInputAstVisitor_AllowLeadingBlankLine.txt</t>
  </si>
  <si>
    <t>com.google.zxing.oned.rss</t>
  </si>
  <si>
    <t>FinderPattern</t>
  </si>
  <si>
    <t>data/processed/prompts/hublike_modularization/zxing/com_google_zxing_oned_rss_FinderPattern.txt</t>
  </si>
  <si>
    <t>UncommonTrap</t>
  </si>
  <si>
    <t>data/processed/prompts/hublike_modularization/jitwatch/org_adoptopenjdk_jitwatch_model_bytecode_UncommonTrap.txt</t>
  </si>
  <si>
    <t>org.adoptopenjdk.jitwatch.jvmlang</t>
  </si>
  <si>
    <t>LanguageManager</t>
  </si>
  <si>
    <t>data/processed/prompts/hublike_modularization/jitwatch/org_adoptopenjdk_jitwatch_jvmlang_LanguageManager.txt</t>
  </si>
  <si>
    <t>CachedConstructor</t>
  </si>
  <si>
    <t>data/processed/prompts/hublike_modularization/byte-buddy/net_bytebuddy_implementation_bytecode_constant_MethodConstant_CachedConstructor.txt</t>
  </si>
  <si>
    <t>JavassistParameterDeclaration</t>
  </si>
  <si>
    <t>data/processed/prompts/hublike_modularization/javaparser/com_github_javaparser_symbolsolver_javassistmodel_JavassistParameterDeclaration.txt</t>
  </si>
  <si>
    <t>MethodTokenList</t>
  </si>
  <si>
    <t>data/processed/prompts/hublike_modularization/byte-buddy/net_bytebuddy_pool_TypePool_MethodTokenList.txt</t>
  </si>
  <si>
    <t>UsingInstrumentation</t>
  </si>
  <si>
    <t>data/processed/prompts/hublike_modularization/byte-buddy/net_bytebuddy_dynamic_loading_ClassInjector_UsingInstrumentation.txt</t>
  </si>
  <si>
    <t>com.google.googlejavaformat.java.StringWrapper</t>
  </si>
  <si>
    <t>LongStringsAndTextBlockScanner</t>
  </si>
  <si>
    <t>data/processed/prompts/hublike_modularization/google-java-format/com_google_googlejavaformat_java_StringWrapper_LongStringsAndTextBlockScanner.txt</t>
  </si>
  <si>
    <t>JsonArray</t>
  </si>
  <si>
    <t>data/processed/prompts/hublike_modularization/gson/com_google_gson_JsonArray.txt</t>
  </si>
  <si>
    <t>net.bytebuddy.benchmark.jmh.generated.ClassByExtensionBenchmark.benchmarkByteBuddyWithProxy</t>
  </si>
  <si>
    <t>data/processed/prompts/hublike_modularization/byte-buddy/net_bytebuddy_benchmark_jmh_generated_ClassByExtensionBenchmark_benchmarkByteBuddyWithProxy_jmhTest.txt</t>
  </si>
  <si>
    <t>InMemoryCache</t>
  </si>
  <si>
    <t>data/processed/prompts/hublike_modularization/javaparser/com_github_javaparser_symbolsolver_cache_InMemoryCache.txt</t>
  </si>
  <si>
    <t>data/processed/prompts/hublike_modularization/commons-io/org_apache_commons_io_file_CountingPathVisitor_AbstractBuilder.txt</t>
  </si>
  <si>
    <t>package.c</t>
  </si>
  <si>
    <t>c</t>
  </si>
  <si>
    <t>data/processed/prompts/hublike_modularization/javaparser/package_c_c.txt</t>
  </si>
  <si>
    <t>DocBuilder</t>
  </si>
  <si>
    <t>data/processed/prompts/hublike_modularization/google-java-format/com_google_googlejavaformat_DocBuilder.txt</t>
  </si>
  <si>
    <t>net.bytebuddy.benchmark.jmh.generated.ClassByImplementationBenchmark.benchmarkCglib</t>
  </si>
  <si>
    <t>data/processed/prompts/hublike_modularization/byte-buddy/net_bytebuddy_benchmark_jmh_generated_ClassByImplementationBenchmark_benchmarkCglib_jmhTest.txt</t>
  </si>
  <si>
    <t>UnionTypeMetaModel</t>
  </si>
  <si>
    <t>data/processed/prompts/hublike_modularization/javaparser/com_github_javaparser_metamodel_UnionTypeMetaModel.txt</t>
  </si>
  <si>
    <t>BindingResolver</t>
  </si>
  <si>
    <t>data/processed/prompts/hublike_modularization/byte-buddy/net_bytebuddy_implementation_bind_MethodDelegationBinder_BindingResolver.txt</t>
  </si>
  <si>
    <t>CommentSavingTokenizer</t>
  </si>
  <si>
    <t>data/processed/prompts/hublike_modularization/google-java-format/com_google_googlejavaformat_java_JavacTokens_CommentSavingTokenizer.txt</t>
  </si>
  <si>
    <t>com.google.gson.graph</t>
  </si>
  <si>
    <t>GraphAdapterBuilder</t>
  </si>
  <si>
    <t>data/processed/prompts/hublike_modularization/gson/com_google_gson_graph_GraphAdapterBuilder.txt</t>
  </si>
  <si>
    <t>TooltipUtil</t>
  </si>
  <si>
    <t>data/processed/prompts/hublike_modularization/jitwatch/org_adoptopenjdk_jitwatch_util_TooltipUtil.txt</t>
  </si>
  <si>
    <t>package.b</t>
  </si>
  <si>
    <t>b</t>
  </si>
  <si>
    <t>data/processed/prompts/hublike_modularization/javaparser/package_b_b.txt</t>
  </si>
  <si>
    <t>ConditionalExprResolver</t>
  </si>
  <si>
    <t>data/processed/prompts/hublike_modularization/javaparser/com_github_javaparser_symbolsolver_resolution_promotion_ConditionalExprResolver.txt</t>
  </si>
  <si>
    <t>data/processed/prompts/hublike_modularization/google-java-format/com_google_googlejavaformat_java_Main.txt</t>
  </si>
  <si>
    <t>PathURLConnection</t>
  </si>
  <si>
    <t>data/processed/prompts/hublike_modularization/jimfs/com_google_common_jimfs_PathURLConnection.txt</t>
  </si>
  <si>
    <t>com.google.zxing.web.DoSTracker</t>
  </si>
  <si>
    <t>TrackerTask</t>
  </si>
  <si>
    <t>data/processed/prompts/hublike_modularization/zxing/com_google_zxing_web_DoSTracker_TrackerTask.txt</t>
  </si>
  <si>
    <t>net.bytebuddy.implementation.bytecode.member.MethodInvocation</t>
  </si>
  <si>
    <t>OfGenericMethod</t>
  </si>
  <si>
    <t>data/processed/prompts/hublike_modularization/byte-buddy/net_bytebuddy_implementation_bytecode_member_MethodInvocation_OfGenericMethod.txt</t>
  </si>
  <si>
    <t>data/processed/prompts/hublike_modularization/byte-buddy/net_bytebuddy_implementation_FixedValue_ForNullValue.txt</t>
  </si>
  <si>
    <t>FailableRunnable</t>
  </si>
  <si>
    <t>data/processed/prompts/hublike_modularization/commons-lang/org_apache_commons_lang3_function_FailableRunnable.txt</t>
  </si>
  <si>
    <t>ClassLoaderObjectInputStream</t>
  </si>
  <si>
    <t>data/processed/prompts/hublike_modularization/commons-io/org_apache_commons_io_input_ClassLoaderObjectInputStream.txt</t>
  </si>
  <si>
    <t>IOBiConsumer</t>
  </si>
  <si>
    <t>data/processed/prompts/hublike_modularization/commons-io/org_apache_commons_io_function_IOBiConsumer.txt</t>
  </si>
  <si>
    <t>net.bytebuddy.dynamic.scaffold.subclass.ConstructorStrategy</t>
  </si>
  <si>
    <t>WithMethodAttributeAppenderFactory</t>
  </si>
  <si>
    <t>data/processed/prompts/hublike_modularization/byte-buddy/net_bytebuddy_dynamic_scaffold_subclass_ConstructorStrategy_WithMethodAttributeAppenderFactory.txt</t>
  </si>
  <si>
    <t>org.apache.commons.io.channels</t>
  </si>
  <si>
    <t>ByteArraySeekableByteChannel</t>
  </si>
  <si>
    <t>data/processed/prompts/hublike_modularization/commons-io/org_apache_commons_io_channels_ByteArraySeekableByteChannel.txt</t>
  </si>
  <si>
    <t>net.bytebuddy.implementation.SuperMethodCall</t>
  </si>
  <si>
    <t>TerminationHandler</t>
  </si>
  <si>
    <t>data/processed/prompts/hublike_modularization/byte-buddy/net_bytebuddy_implementation_SuperMethodCall_TerminationHandler.txt</t>
  </si>
  <si>
    <t>LineTable</t>
  </si>
  <si>
    <t>data/processed/prompts/hublike_modularization/jitwatch/org_adoptopenjdk_jitwatch_model_bytecode_LineTable.txt</t>
  </si>
  <si>
    <t>ForLoadedField</t>
  </si>
  <si>
    <t>data/processed/prompts/hublike_modularization/byte-buddy/net_bytebuddy_description_field_FieldDescription_ForLoadedField.txt</t>
  </si>
  <si>
    <t>com.google.googlejavaformat.intellij</t>
  </si>
  <si>
    <t>UiFormatterStyle</t>
  </si>
  <si>
    <t>data/processed/prompts/hublike_modularization/google-java-format/com_google_googlejavaformat_intellij_UiFormatterStyle.txt</t>
  </si>
  <si>
    <t>JavassistEnumDeclaration</t>
  </si>
  <si>
    <t>data/processed/prompts/hublike_modularization/javaparser/com_github_javaparser_symbolsolver_javassistmodel_JavassistEnumDeclaration.txt</t>
  </si>
  <si>
    <t>GmtTimeZone</t>
  </si>
  <si>
    <t>data/processed/prompts/hublike_modularization/commons-lang/org_apache_commons_lang3_time_GmtTimeZone.txt</t>
  </si>
  <si>
    <t>LuminanceSource</t>
  </si>
  <si>
    <t>data/processed/prompts/hublike_modularization/zxing/com_google_zxing_LuminanceSource.txt</t>
  </si>
  <si>
    <t>com.github.javaparser.ast.nodeTypes.modifiers</t>
  </si>
  <si>
    <t>NodeWithProtectedModifier</t>
  </si>
  <si>
    <t>data/processed/prompts/hublike_modularization/javaparser/com_github_javaparser_ast_nodeTypes_modifiers_NodeWithProtectedModifier.txt</t>
  </si>
  <si>
    <t>japa.bdd.samples.JavaConcepts</t>
  </si>
  <si>
    <t>Enum</t>
  </si>
  <si>
    <t>data/processed/prompts/hublike_modularization/javaparser/japa_bdd_samples_JavaConcepts_Enum.txt</t>
  </si>
  <si>
    <t>Filtering</t>
  </si>
  <si>
    <t>data/processed/prompts/hublike_modularization/byte-buddy/net_bytebuddy_dynamic_ClassFileLocator_Filtering.txt</t>
  </si>
  <si>
    <t>Write</t>
  </si>
  <si>
    <t>data/processed/prompts/hublike_modularization/byte-buddy/net_bytebuddy_asm_MemberSubstitution_Write.txt</t>
  </si>
  <si>
    <t>Renaming</t>
  </si>
  <si>
    <t>data/processed/prompts/hublike_modularization/byte-buddy/net_bytebuddy_build_RenamingPlugin_Renaming.txt</t>
  </si>
  <si>
    <t>data/processed/prompts/hublike_modularization/byte-buddy/net_bytebuddy_implementation_FieldAccessor_TerminationHandler.txt</t>
  </si>
  <si>
    <t>LazySuperClass</t>
  </si>
  <si>
    <t>data/processed/prompts/hublike_modularization/byte-buddy/net_bytebuddy_pool_TypePool_LazySuperClass.txt</t>
  </si>
  <si>
    <t>TextElementMatchers</t>
  </si>
  <si>
    <t>data/processed/prompts/hublike_modularization/javaparser/com_github_javaparser_printer_lexicalpreservation_TextElementMatchers.txt</t>
  </si>
  <si>
    <t>Position</t>
  </si>
  <si>
    <t>data/processed/prompts/hublike_modularization/javaparser/com_github_javaparser_Position.txt</t>
  </si>
  <si>
    <t>NodeWithTypeParameters</t>
  </si>
  <si>
    <t>data/processed/prompts/hublike_modularization/javaparser/com_github_javaparser_ast_nodeTypes_NodeWithTypeParameters.txt</t>
  </si>
  <si>
    <t>TypeVariableAnnotationAdapter</t>
  </si>
  <si>
    <t>data/processed/prompts/hublike_modularization/byte-buddy/net_bytebuddy_dynamic_DynamicType_TypeVariableAnnotationAdapter.txt</t>
  </si>
  <si>
    <t>RandomAccessFileMode</t>
  </si>
  <si>
    <t>data/processed/prompts/hublike_modularization/commons-io/org_apache_commons_io_RandomAccessFileMode.txt</t>
  </si>
  <si>
    <t>com.github.javaparser.symbolsolver.resolution.typeinference.bounds</t>
  </si>
  <si>
    <t>SubtypeOfBound</t>
  </si>
  <si>
    <t>data/processed/prompts/hublike_modularization/javaparser/com_github_javaparser_symbolsolver_resolution_typeinference_bounds_SubtypeOfBound.txt</t>
  </si>
  <si>
    <t>InnerClassDotExpressions</t>
  </si>
  <si>
    <t>data/processed/prompts/hublike_modularization/javaparser/(default package)_InnerClassDotExpressions.txt</t>
  </si>
  <si>
    <t>GoogleJavaFormatTool</t>
  </si>
  <si>
    <t>data/processed/prompts/hublike_modularization/google-java-format/com_google_googlejavaformat_java_GoogleJavaFormatTool.txt</t>
  </si>
  <si>
    <t>data/processed/prompts/hublike_modularization/javaparser/com_github_javaparser_metamodel_BaseNodeMetaModel.txt</t>
  </si>
  <si>
    <t>WithActiveRecord</t>
  </si>
  <si>
    <t>data/processed/prompts/hublike_modularization/byte-buddy/net_bytebuddy_dynamic_scaffold_TypeWriter_WithActiveRecord.txt</t>
  </si>
  <si>
    <t>ReflectionEnumConstantDeclaration</t>
  </si>
  <si>
    <t>data/processed/prompts/hublike_modularization/javaparser/com_github_javaparser_symbolsolver_reflectionmodel_ReflectionEnumConstantDeclaration.txt</t>
  </si>
  <si>
    <t>org.jsoup</t>
  </si>
  <si>
    <t>UnsupportedMimeTypeException</t>
  </si>
  <si>
    <t>data/processed/prompts/hublike_modularization/jsoup/org_jsoup_UnsupportedMimeTypeException.txt</t>
  </si>
  <si>
    <t>InvocationFactory</t>
  </si>
  <si>
    <t>data/processed/prompts/hublike_modularization/byte-buddy/net_bytebuddy_implementation_auxiliary_TypeProxy_InvocationFactory.txt</t>
  </si>
  <si>
    <t>net.bytebuddy.implementation.HashCodeMethod</t>
  </si>
  <si>
    <t>UsingJump</t>
  </si>
  <si>
    <t>data/processed/prompts/hublike_modularization/byte-buddy/net_bytebuddy_implementation_HashCodeMethod_UsingJump.txt</t>
  </si>
  <si>
    <t>ForRetainedElement</t>
  </si>
  <si>
    <t>data/processed/prompts/hublike_modularization/byte-buddy/net_bytebuddy_build_Plugin_ForRetainedElement.txt</t>
  </si>
  <si>
    <t>SignatureKey</t>
  </si>
  <si>
    <t>data/processed/prompts/hublike_modularization/byte-buddy/net_bytebuddy_dynamic_scaffold_TypeWriter_SignatureKey.txt</t>
  </si>
  <si>
    <t>AbstractFormatCache</t>
  </si>
  <si>
    <t>data/processed/prompts/hublike_modularization/commons-lang/org_apache_commons_lang3_time_AbstractFormatCache.txt</t>
  </si>
  <si>
    <t>net.bytebuddy.ByteBuddy</t>
  </si>
  <si>
    <t>InitializationAppender</t>
  </si>
  <si>
    <t>data/processed/prompts/hublike_modularization/byte-buddy/net_bytebuddy_ByteBuddy_InitializationAppender.txt</t>
  </si>
  <si>
    <t>data/processed/prompts/hublike_modularization/javaparser/com_github_javaparser_printer_lexicalpreservation_ReshuffledDiffElementExtractor_MatchClassification.txt</t>
  </si>
  <si>
    <t>Coordinate</t>
  </si>
  <si>
    <t>data/processed/prompts/hublike_modularization/byte-buddy/net_bytebuddy_build_maven_ByteBuddyMojo_Coordinate.txt</t>
  </si>
  <si>
    <t>WithFixedSuffix</t>
  </si>
  <si>
    <t>data/processed/prompts/hublike_modularization/byte-buddy/net_bytebuddy_implementation_Implementation_WithFixedSuffix.txt</t>
  </si>
  <si>
    <t>data/processed/prompts/hublike_modularization/jitwatch/org_adoptopenjdk_jitwatch_model_PackageManager.txt</t>
  </si>
  <si>
    <t>data/processed/prompts/hublike_modularization/byte-buddy/org_gradle_api_file_DirectoryProperty.txt</t>
  </si>
  <si>
    <t>org.adoptopenjdk.jitwatch.inline</t>
  </si>
  <si>
    <t>HeadlessInlineVisitor</t>
  </si>
  <si>
    <t>data/processed/prompts/hublike_modularization/jitwatch/org_adoptopenjdk_jitwatch_inline_HeadlessInlineVisitor.txt</t>
  </si>
  <si>
    <t>ForBootstrapInjection</t>
  </si>
  <si>
    <t>data/processed/prompts/hublike_modularization/byte-buddy/net_bytebuddy_dynamic_loading_ClassLoadingStrategy_ForBootstrapInjection.txt</t>
  </si>
  <si>
    <t>CompositeFileComparator</t>
  </si>
  <si>
    <t>data/processed/prompts/hublike_modularization/commons-io/org_apache_commons_io_comparator_CompositeFileComparator.txt</t>
  </si>
  <si>
    <t>FailableDoubleConsumer</t>
  </si>
  <si>
    <t>data/processed/prompts/hublike_modularization/commons-lang/org_apache_commons_lang3_function_FailableDoubleConsumer.txt</t>
  </si>
  <si>
    <t>TrivialMethod</t>
  </si>
  <si>
    <t>data/processed/prompts/hublike_modularization/jitwatch/(default package)_TrivialMethod.txt</t>
  </si>
  <si>
    <t>TypeSubstituting</t>
  </si>
  <si>
    <t>data/processed/prompts/hublike_modularization/byte-buddy/net_bytebuddy_description_method_ParameterList_TypeSubstituting.txt</t>
  </si>
  <si>
    <t>ForUnresolvedMethod</t>
  </si>
  <si>
    <t>data/processed/prompts/hublike_modularization/byte-buddy/net_bytebuddy_utility_dispatcher_JavaDispatcher_ForUnresolvedMethod.txt</t>
  </si>
  <si>
    <t>ForProductionTypes</t>
  </si>
  <si>
    <t>data/processed/prompts/hublike_modularization/byte-buddy/net_bytebuddy_build_maven_ByteBuddyMojo_ForProductionTypes.txt</t>
  </si>
  <si>
    <t>HybridBinarizer</t>
  </si>
  <si>
    <t>data/processed/prompts/hublike_modularization/zxing/com_google_zxing_common_HybridBinarizer.txt</t>
  </si>
  <si>
    <t>Code128Reader</t>
  </si>
  <si>
    <t>data/processed/prompts/hublike_modularization/zxing/com_google_zxing_oned_Code128Reader.txt</t>
  </si>
  <si>
    <t>net.bytebuddy.agent.builder.ResettableClassFileTransformer</t>
  </si>
  <si>
    <t>data/processed/prompts/hublike_modularization/byte-buddy/net_bytebuddy_agent_builder_ResettableClassFileTransformer_Factory.txt</t>
  </si>
  <si>
    <t>ResolvedRecordDeclaration</t>
  </si>
  <si>
    <t>data/processed/prompts/hublike_modularization/javaparser/com_github_javaparser_resolution_declarations_ResolvedRecordDeclaration.txt</t>
  </si>
  <si>
    <t>VariableDeclarationExprMetaModel</t>
  </si>
  <si>
    <t>data/processed/prompts/hublike_modularization/javaparser/com_github_javaparser_metamodel_VariableDeclarationExprMetaModel.txt</t>
  </si>
  <si>
    <t>StringLiteral</t>
  </si>
  <si>
    <t>data/processed/prompts/hublike_modularization/commons-lang/org_apache_commons_lang3_time_FastDatePrinter_StringLiteral.txt</t>
  </si>
  <si>
    <t>SingleMemberAnnotationExprMetaModel</t>
  </si>
  <si>
    <t>data/processed/prompts/hublike_modularization/javaparser/com_github_javaparser_metamodel_SingleMemberAnnotationExprMetaModel.txt</t>
  </si>
  <si>
    <t>data/processed/prompts/hublike_modularization/byte-buddy/net_bytebuddy_description_type_TypeDescription_LazyInterfaceList.txt</t>
  </si>
  <si>
    <t>com.google.zxing.multi</t>
  </si>
  <si>
    <t>ByQuadrantReader</t>
  </si>
  <si>
    <t>data/processed/prompts/hublike_modularization/zxing/com_google_zxing_multi_ByQuadrantReader.txt</t>
  </si>
  <si>
    <t>org.jsoup.nodes.Attributes</t>
  </si>
  <si>
    <t>Dataset</t>
  </si>
  <si>
    <t>data/processed/prompts/hublike_modularization/jsoup/org_jsoup_nodes_Attributes_Dataset.txt</t>
  </si>
  <si>
    <t>TaggedWriter</t>
  </si>
  <si>
    <t>data/processed/prompts/hublike_modularization/commons-io/org_apache_commons_io_output_TaggedWriter.txt</t>
  </si>
  <si>
    <t>com.google.zxing.client.android.result.supplement</t>
  </si>
  <si>
    <t>BookResultInfoRetriever</t>
  </si>
  <si>
    <t>data/processed/prompts/hublike_modularization/zxing/com_google_zxing_client_android_result_supplement_BookResultInfoRetriever.txt</t>
  </si>
  <si>
    <t>MethodStrictness</t>
  </si>
  <si>
    <t>data/processed/prompts/hublike_modularization/byte-buddy/net_bytebuddy_description_modifier_MethodStrictness.txt</t>
  </si>
  <si>
    <t>com.service.definition.ServiceDefinition</t>
  </si>
  <si>
    <t>net.bytebuddy.agent.builder.AgentBuilder</t>
  </si>
  <si>
    <t>net.bytebuddy.agent.builder.ResettableClassFileTransformer.Factory</t>
  </si>
  <si>
    <t>net.bytebuddy.agent.ByteBuddyAgent.Disabled</t>
  </si>
  <si>
    <t>net.bytebuddy.agent.VirtualMachine.NamedPipeResponse</t>
  </si>
  <si>
    <t>net.bytebuddy.android.AndroidClassLoadingStrategy.ForAndroidPVm</t>
  </si>
  <si>
    <t>net.bytebuddy.android.AndroidClassLoadingStrategy.Wrapping</t>
  </si>
  <si>
    <t>net.bytebuddy.asm.Advice</t>
  </si>
  <si>
    <t>net.bytebuddy.asm.AsmVisitorWrapper.Entry</t>
  </si>
  <si>
    <t>net.bytebuddy.asm.MemberSubstitution.OfGivenMethod</t>
  </si>
  <si>
    <t>net.bytebuddy.asm.MemberSubstitution.Write</t>
  </si>
  <si>
    <t>net.bytebuddy.asm.TypeReferenceAdjustment.TypeReferenceClassVisitor</t>
  </si>
  <si>
    <t>net.bytebuddy.asm.TypeReferenceAdjustment.TypeReferenceMethodVisitor</t>
  </si>
  <si>
    <t>net.bytebuddy.build.gradle.android.ByteBuddyAndroidPlugin.ByteBuddyTransformationConfiguration</t>
  </si>
  <si>
    <t>net.bytebuddy.build.gradle.android.ByteBuddyAndroidPlugin.ForLegacyAndroid</t>
  </si>
  <si>
    <t>net.bytebuddy.build.gradle.android.ByteBuddyAndroidPlugin.VariantAction</t>
  </si>
  <si>
    <t>net.bytebuddy.build.gradle.android.ByteBuddyAndroidService.Parameters</t>
  </si>
  <si>
    <t>net.bytebuddy.build.gradle.android.ByteBuddyLocalClassesEnhancerTask</t>
  </si>
  <si>
    <t>net.bytebuddy.build.gradle.android.LegacyByteBuddyLocalClassesEnhancerTask</t>
  </si>
  <si>
    <t>net.bytebuddy.build.maven.ByteBuddyMojo.Coordinate</t>
  </si>
  <si>
    <t>net.bytebuddy.build.maven.ByteBuddyMojo.ForProductionTypes</t>
  </si>
  <si>
    <t>net.bytebuddy.build.AndroidDescriptor.Trivial</t>
  </si>
  <si>
    <t>net.bytebuddy.build.Plugin.ForJarOutputStream</t>
  </si>
  <si>
    <t>net.bytebuddy.build.Plugin.ForRetainedElement</t>
  </si>
  <si>
    <t>net.bytebuddy.build.RenamingPlugin.NoOp</t>
  </si>
  <si>
    <t>net.bytebuddy.build.RenamingPlugin.Renaming</t>
  </si>
  <si>
    <t>net.bytebuddy.description.annotation.AnnotationValue.ForNonArrayType</t>
  </si>
  <si>
    <t>net.bytebuddy.description.field.FieldDescription.ForLoadedField</t>
  </si>
  <si>
    <t>net.bytebuddy.description.method.ParameterList.TypeSubstituting</t>
  </si>
  <si>
    <t>net.bytebuddy.description.modifier.MethodStrictness</t>
  </si>
  <si>
    <t>net.bytebuddy.description.type.RecordComponentDescription.RecordComponent</t>
  </si>
  <si>
    <t>net.bytebuddy.description.type.TypeDescription.ForLoadedExecutableParameterType</t>
  </si>
  <si>
    <t>net.bytebuddy.description.type.TypeDescription.OfAnnotatedElement</t>
  </si>
  <si>
    <t>net.bytebuddy.description.type.TypeDescription.RetainedMethodTypeVariable</t>
  </si>
  <si>
    <t>net.bytebuddy.description.type.TypeDescription.TypeVariableSubstitutor</t>
  </si>
  <si>
    <t>net.bytebuddy.description.type.TypeList.Explicit</t>
  </si>
  <si>
    <t>net.bytebuddy.description.type.TypeList.ForDetachedTypes</t>
  </si>
  <si>
    <t>net.bytebuddy.dynamic.loading.ByteArrayClassLoader.CreationAction</t>
  </si>
  <si>
    <t>net.bytebuddy.dynamic.loading.ByteArrayClassLoader.PrependingEnumeration</t>
  </si>
  <si>
    <t>net.bytebuddy.dynamic.loading.ClassFilePostProcessor.ForClassFileTransformer</t>
  </si>
  <si>
    <t>net.bytebuddy.dynamic.loading.ClassInjector.Lookup</t>
  </si>
  <si>
    <t>net.bytebuddy.dynamic.loading.ClassInjector.Target</t>
  </si>
  <si>
    <t>net.bytebuddy.dynamic.loading.ClassInjector.UsingInstrumentation</t>
  </si>
  <si>
    <t>net.bytebuddy.dynamic.loading.ClassInjector.UsingUnsafe</t>
  </si>
  <si>
    <t>net.bytebuddy.dynamic.loading.ClassLoadingStrategy.ForBootstrapInjection</t>
  </si>
  <si>
    <t>net.bytebuddy.dynamic.loading.ClassLoadingStrategy.InjectionDispatcher</t>
  </si>
  <si>
    <t>net.bytebuddy.dynamic.loading.ClassReloadingStrategy.Disabled</t>
  </si>
  <si>
    <t>net.bytebuddy.dynamic.loading.MultipleParentClassLoader.CompoundEnumeration</t>
  </si>
  <si>
    <t>net.bytebuddy.dynamic.scaffold.subclass.ConstructorStrategy.WithMethodAttributeAppenderFactory</t>
  </si>
  <si>
    <t>net.bytebuddy.dynamic.scaffold.InstrumentedType.WithFlexibleName</t>
  </si>
  <si>
    <t>net.bytebuddy.dynamic.scaffold.MethodGraph.ForJVMMethod</t>
  </si>
  <si>
    <t>net.bytebuddy.dynamic.scaffold.TypeWriter.ForClassFileVersion</t>
  </si>
  <si>
    <t>net.bytebuddy.dynamic.scaffold.TypeWriter.ForRecord</t>
  </si>
  <si>
    <t>net.bytebuddy.dynamic.scaffold.TypeWriter.SignatureKey</t>
  </si>
  <si>
    <t>net.bytebuddy.dynamic.scaffold.TypeWriter.WithActiveRecord</t>
  </si>
  <si>
    <t>net.bytebuddy.dynamic.scaffold.TypeWriter.WithoutBody</t>
  </si>
  <si>
    <t>net.bytebuddy.dynamic.ClassFileLocator.Compound</t>
  </si>
  <si>
    <t>net.bytebuddy.dynamic.ClassFileLocator.Filtering</t>
  </si>
  <si>
    <t>net.bytebuddy.dynamic.ClassFileLocator.ForFolder</t>
  </si>
  <si>
    <t>net.bytebuddy.dynamic.DynamicType.FieldDefinitionAdapter</t>
  </si>
  <si>
    <t>net.bytebuddy.dynamic.DynamicType.SimpleParameterAnnotationAdapter</t>
  </si>
  <si>
    <t>net.bytebuddy.dynamic.DynamicType.TypeVariableAnnotationAdapter</t>
  </si>
  <si>
    <t>net.bytebuddy.dynamic.TypeResolutionStrategy.Passive</t>
  </si>
  <si>
    <t>net.bytebuddy.implementation.attribute.AnnotationAppender.ForTypeAnnotations</t>
  </si>
  <si>
    <t>net.bytebuddy.implementation.attribute.FieldAttributeAppender.Compound</t>
  </si>
  <si>
    <t>net.bytebuddy.implementation.auxiliary.TypeProxy.InvocationFactory</t>
  </si>
  <si>
    <t>net.bytebuddy.implementation.bind.annotation.TargetMethodAnnotationDrivenBinder.OfConstant</t>
  </si>
  <si>
    <t>net.bytebuddy.implementation.bind.MethodDelegationBinder.BindingResolver</t>
  </si>
  <si>
    <t>net.bytebuddy.implementation.bind.MethodDelegationBinder.ParameterBinding</t>
  </si>
  <si>
    <t>net.bytebuddy.implementation.bind.MethodNameEqualityResolver</t>
  </si>
  <si>
    <t>net.bytebuddy.implementation.bytecode.constant.DefaultValue</t>
  </si>
  <si>
    <t>net.bytebuddy.implementation.bytecode.constant.LongConstant</t>
  </si>
  <si>
    <t>net.bytebuddy.implementation.bytecode.constant.MethodConstant.CachedConstructor</t>
  </si>
  <si>
    <t>net.bytebuddy.implementation.bytecode.member.FieldAccess.Defined</t>
  </si>
  <si>
    <t>net.bytebuddy.implementation.bytecode.member.MethodInvocation.OfGenericMethod</t>
  </si>
  <si>
    <t>net.bytebuddy.implementation.bytecode.ShiftRight</t>
  </si>
  <si>
    <t>net.bytebuddy.implementation.bytecode.StackManipulation.Illegal</t>
  </si>
  <si>
    <t>net.bytebuddy.implementation.bytecode.StackManipulation.Size</t>
  </si>
  <si>
    <t>net.bytebuddy.implementation.bytecode.StackManipulation.Trivial</t>
  </si>
  <si>
    <t>net.bytebuddy.implementation.FieldAccessor.OwnerTypeLocatable</t>
  </si>
  <si>
    <t>net.bytebuddy.implementation.FieldAccessor.TerminationHandler</t>
  </si>
  <si>
    <t>net.bytebuddy.implementation.FixedValue.ForNullValue</t>
  </si>
  <si>
    <t>net.bytebuddy.implementation.FixedValue.ForOriginType</t>
  </si>
  <si>
    <t>net.bytebuddy.implementation.HashCodeMethod.UsingJump</t>
  </si>
  <si>
    <t>net.bytebuddy.implementation.Implementation.Composable</t>
  </si>
  <si>
    <t>net.bytebuddy.implementation.Implementation.WithFixedSuffix</t>
  </si>
  <si>
    <t>net.bytebuddy.implementation.InvocationHandlerAdapter.AssignerConfigurable</t>
  </si>
  <si>
    <t>net.bytebuddy.implementation.InvokeDynamic.ForNullValue</t>
  </si>
  <si>
    <t>net.bytebuddy.implementation.InvokeDynamic.Simple</t>
  </si>
  <si>
    <t>net.bytebuddy.implementation.MethodAccessorFactory.Illegal</t>
  </si>
  <si>
    <t>net.bytebuddy.implementation.MethodCall.ForInstrumentedMethod</t>
  </si>
  <si>
    <t>net.bytebuddy.implementation.MethodCall.WithImplicitType</t>
  </si>
  <si>
    <t>net.bytebuddy.implementation.SuperMethodCall.TerminationHandler</t>
  </si>
  <si>
    <t>net.bytebuddy.matcher.BooleanMatcher</t>
  </si>
  <si>
    <t>net.bytebuddy.matcher.DefinedShapeMatcher</t>
  </si>
  <si>
    <t>net.bytebuddy.matcher.ElementMatchers</t>
  </si>
  <si>
    <t>net.bytebuddy.matcher.ErasureMatcher</t>
  </si>
  <si>
    <t>net.bytebuddy.matcher.HasSuperTypeMatcher</t>
  </si>
  <si>
    <t>net.bytebuddy.pool.TypePool.LazyInterface</t>
  </si>
  <si>
    <t>net.bytebuddy.pool.TypePool.LazyParameterDescription</t>
  </si>
  <si>
    <t>net.bytebuddy.pool.TypePool.LazySuperClass</t>
  </si>
  <si>
    <t>net.bytebuddy.pool.TypePool.Loadable</t>
  </si>
  <si>
    <t>net.bytebuddy.pool.TypePool.MethodTokenList</t>
  </si>
  <si>
    <t>net.bytebuddy.utility.dispatcher.JavaDispatcher.ForUnresolvedMethod</t>
  </si>
  <si>
    <t>net.bytebuddy.utility.AsmClassReader.Default</t>
  </si>
  <si>
    <t>net.bytebuddy.utility.JavaConstant.Dispatcher</t>
  </si>
  <si>
    <t>net.bytebuddy.utility.JavaConstant.OfClassDesc</t>
  </si>
  <si>
    <t>net.bytebuddy.utility.JavaModule.Module</t>
  </si>
  <si>
    <t>net.bytebuddy.ByteBuddy.InitializationAppender</t>
  </si>
  <si>
    <t>net.bytebuddy.ClassFileVersion.Resolver</t>
  </si>
  <si>
    <t>net.bytebuddy.NamingStrategy.AbstractBase</t>
  </si>
  <si>
    <t>org.apache.commons.io.build.AbstractOrigin.AbstractRandomAccessFileOrigin</t>
  </si>
  <si>
    <t>org.apache.commons.io.channels.ByteArraySeekableByteChannel</t>
  </si>
  <si>
    <t>org.apache.commons.io.comparator.AbstractFileComparator</t>
  </si>
  <si>
    <t>org.apache.commons.io.comparator.CompositeFileComparator</t>
  </si>
  <si>
    <t>org.apache.commons.io.comparator.ExtensionFileComparator</t>
  </si>
  <si>
    <t>org.apache.commons.io.file.CountingPathVisitor.AbstractBuilder</t>
  </si>
  <si>
    <t>org.apache.commons.io.function.IOBiConsumer</t>
  </si>
  <si>
    <t>org.apache.commons.io.function.IOStream</t>
  </si>
  <si>
    <t>org.apache.commons.io.function.Uncheck</t>
  </si>
  <si>
    <t>org.apache.commons.io.input.CharSequenceInputStream</t>
  </si>
  <si>
    <t>org.apache.commons.io.input.ClassLoaderObjectInputStream</t>
  </si>
  <si>
    <t>org.apache.commons.io.input.MessageDigestCalculatingInputStream.Builder</t>
  </si>
  <si>
    <t>org.apache.commons.io.output.DeferredFileOutputStream.Builder</t>
  </si>
  <si>
    <t>org.apache.commons.io.output.TaggedWriter</t>
  </si>
  <si>
    <t>org.apache.commons.io.CopyUtils</t>
  </si>
  <si>
    <t>org.apache.commons.io.RandomAccessFileMode</t>
  </si>
  <si>
    <t>org.apache.commons.lang3.compare.ObjectToStringComparator</t>
  </si>
  <si>
    <t>org.apache.commons.lang3.concurrent.locks.LockingVisitors.LockVisitor</t>
  </si>
  <si>
    <t>org.apache.commons.lang3.concurrent.AtomicInitializer.Builder</t>
  </si>
  <si>
    <t>org.apache.commons.lang3.concurrent.ConstantInitializer</t>
  </si>
  <si>
    <t>org.apache.commons.lang3.concurrent.MultiBackgroundInitializer</t>
  </si>
  <si>
    <t>org.apache.commons.lang3.concurrent.UncheckedExecutionException</t>
  </si>
  <si>
    <t>org.apache.commons.lang3.event.EventUtils.EventBindingInvocationHandler</t>
  </si>
  <si>
    <t>org.apache.commons.lang3.exception.ExceptionContext</t>
  </si>
  <si>
    <t>org.apache.commons.lang3.function.FailableBiPredicate</t>
  </si>
  <si>
    <t>org.apache.commons.lang3.function.FailableDoubleConsumer</t>
  </si>
  <si>
    <t>org.apache.commons.lang3.function.FailableDoublePredicate</t>
  </si>
  <si>
    <t>org.apache.commons.lang3.function.FailableDoubleToLongFunction</t>
  </si>
  <si>
    <t>org.apache.commons.lang3.function.FailableIntUnaryOperator</t>
  </si>
  <si>
    <t>org.apache.commons.lang3.function.FailableLongUnaryOperator</t>
  </si>
  <si>
    <t>org.apache.commons.lang3.function.FailableObjIntConsumer</t>
  </si>
  <si>
    <t>org.apache.commons.lang3.function.FailableObjLongConsumer</t>
  </si>
  <si>
    <t>org.apache.commons.lang3.function.FailableRunnable</t>
  </si>
  <si>
    <t>org.apache.commons.lang3.time.AbstractFormatCache</t>
  </si>
  <si>
    <t>org.apache.commons.lang3.time.FastDateParser.StrategyParser</t>
  </si>
  <si>
    <t>org.apache.commons.lang3.time.FastDatePrinter.StringLiteral</t>
  </si>
  <si>
    <t>org.apache.commons.lang3.time.GmtTimeZone</t>
  </si>
  <si>
    <t>org.apache.commons.lang3.Functions.FailableBiConsumer</t>
  </si>
  <si>
    <t>org.apache.commons.lang3.ThreadUtils.ThreadPredicate</t>
  </si>
  <si>
    <t>com.google.googlejavaformat.intellij.UiFormatterStyle</t>
  </si>
  <si>
    <t>com.google.googlejavaformat.java.javadoc.JavadocWriter</t>
  </si>
  <si>
    <t>com.google.googlejavaformat.java.GoogleJavaFormatTool</t>
  </si>
  <si>
    <t>com.google.googlejavaformat.java.JavaInputAstVisitor.AllowLeadingBlankLine</t>
  </si>
  <si>
    <t>com.google.googlejavaformat.java.JavaInputAstVisitor.Kind</t>
  </si>
  <si>
    <t>com.google.googlejavaformat.java.JavacTokens.CommentSavingTokenizer</t>
  </si>
  <si>
    <t>com.google.googlejavaformat.java.ModifierOrderer.ModifierTokens</t>
  </si>
  <si>
    <t>com.google.googlejavaformat.java.RemoveUnusedImports.UnusedImportScanner</t>
  </si>
  <si>
    <t>com.google.googlejavaformat.java.StringWrapper.LongStringsAndTextBlockScanner</t>
  </si>
  <si>
    <t>com.google.googlejavaformat.DocBuilder</t>
  </si>
  <si>
    <t>com.google.googlejavaformat.FormattingError</t>
  </si>
  <si>
    <t>com.google.googlejavaformat.Indent</t>
  </si>
  <si>
    <t>com.example.NoSerializedNameMain.TestClassHasArgsConstructor</t>
  </si>
  <si>
    <t>com.google.gson.graph.GraphAdapterBuilder</t>
  </si>
  <si>
    <t>com.google.gson.internal.bind.NumberTypeAdapter</t>
  </si>
  <si>
    <t>com.google.gson.internal.bind.ReflectiveTypeAdapterFactory.Adapter</t>
  </si>
  <si>
    <t>com.google.gson.internal.bind.ReflectiveTypeAdapterFactory.RecordAdapter</t>
  </si>
  <si>
    <t>com.google.gson.internal.ReflectionAccessFilterHelper</t>
  </si>
  <si>
    <t>com.google.gson.JsonArray</t>
  </si>
  <si>
    <t>com.google.gson.JsonParser</t>
  </si>
  <si>
    <t>(default package).EnumWithInnerType.EnumInner</t>
  </si>
  <si>
    <t>(default package).InnerClassContainer.InnerClass</t>
  </si>
  <si>
    <t>(default package).Issue300.B</t>
  </si>
  <si>
    <t>a.RefClass2</t>
  </si>
  <si>
    <t>com.example.ConstructorParameterTest</t>
  </si>
  <si>
    <t>com.github.javaparser.ast.nodeTypes.modifiers.NodeWithProtectedModifier</t>
  </si>
  <si>
    <t>com.github.javaparser.ast.nodeTypes.NodeWithTraversableScope</t>
  </si>
  <si>
    <t>com.github.javaparser.ast.nodeTypes.NodeWithTypeParameters</t>
  </si>
  <si>
    <t>com.github.javaparser.ast.observer.AstObserver</t>
  </si>
  <si>
    <t>com.github.javaparser.ast.observer.AstObserverAdapter</t>
  </si>
  <si>
    <t>com.github.javaparser.ast.observer.PropagatingAstObserver</t>
  </si>
  <si>
    <t>com.github.javaparser.ast.validator.postprocessors.Java22PostProcessor</t>
  </si>
  <si>
    <t>com.github.javaparser.ast.validator.postprocessors.Java24PostProcessor</t>
  </si>
  <si>
    <t>com.github.javaparser.ast.CompilationUnit</t>
  </si>
  <si>
    <t>com.github.javaparser.generator.core.node.ReplaceMethodGenerator</t>
  </si>
  <si>
    <t>com.github.javaparser.generator.core.other.BndGenerator</t>
  </si>
  <si>
    <t>com.github.javaparser.generator.core.visitor.EqualsVisitorGenerator</t>
  </si>
  <si>
    <t>com.github.javaparser.generator.core.visitor.VoidVisitorAdapterGenerator</t>
  </si>
  <si>
    <t>com.github.javaparser.metamodel.BinaryExprMetaModel</t>
  </si>
  <si>
    <t>com.github.javaparser.metamodel.CompilationUnitMetaModel</t>
  </si>
  <si>
    <t>com.github.javaparser.metamodel.RecordPatternExprMetaModel</t>
  </si>
  <si>
    <t>com.github.javaparser.metamodel.SingleMemberAnnotationExprMetaModel</t>
  </si>
  <si>
    <t>com.github.javaparser.metamodel.UnionTypeMetaModel</t>
  </si>
  <si>
    <t>com.github.javaparser.metamodel.VariableDeclarationExprMetaModel</t>
  </si>
  <si>
    <t>com.github.javaparser.printer.concretesyntaxmodel.CsmComment</t>
  </si>
  <si>
    <t>com.github.javaparser.printer.configuration.PrettyPrinterConfiguration</t>
  </si>
  <si>
    <t>com.github.javaparser.printer.lexicalpreservation.ChildTextElement</t>
  </si>
  <si>
    <t>com.github.javaparser.printer.lexicalpreservation.TextElementMatchers</t>
  </si>
  <si>
    <t>com.github.javaparser.resolution.declarations.ResolvedDeclaration</t>
  </si>
  <si>
    <t>com.github.javaparser.resolution.declarations.ResolvedRecordDeclaration</t>
  </si>
  <si>
    <t>com.github.javaparser.resolution.declarations.ResolvedTypeParametrizable</t>
  </si>
  <si>
    <t>com.github.javaparser.resolution.types.parametrization.ResolvedTypeParameterValueProvider</t>
  </si>
  <si>
    <t>com.github.javaparser.resolution.types.ResolvedArrayType</t>
  </si>
  <si>
    <t>com.github.javaparser.resolution.types.ResolvedWildcard</t>
  </si>
  <si>
    <t>com.github.javaparser.resolution.Solver</t>
  </si>
  <si>
    <t>com.github.javaparser.serialization.JavaParserJsonSerializer.JsonNode</t>
  </si>
  <si>
    <t>com.github.javaparser.symbolsolver.cache.DefaultCacheStats</t>
  </si>
  <si>
    <t>com.github.javaparser.symbolsolver.cache.InMemoryCache</t>
  </si>
  <si>
    <t>com.github.javaparser.symbolsolver.javaparsermodel.contexts.VariableDeclaratorContext</t>
  </si>
  <si>
    <t>com.github.javaparser.symbolsolver.javaparsermodel.declarators.TypePatternSymbolDeclarator</t>
  </si>
  <si>
    <t>com.github.javaparser.symbolsolver.javaparsermodel.JavaParserFacade</t>
  </si>
  <si>
    <t>com.github.javaparser.symbolsolver.javassistmodel.JavassistEnumDeclaration</t>
  </si>
  <si>
    <t>com.github.javaparser.symbolsolver.javassistmodel.JavassistParameterDeclaration</t>
  </si>
  <si>
    <t>com.github.javaparser.symbolsolver.reflectionmodel.comparators.MethodComparator</t>
  </si>
  <si>
    <t>com.github.javaparser.symbolsolver.reflectionmodel.ReflectionEnumConstantDeclaration</t>
  </si>
  <si>
    <t>com.github.javaparser.symbolsolver.reflectionmodel.ReflectionInterfaceDeclaration</t>
  </si>
  <si>
    <t>com.github.javaparser.symbolsolver.resolution.promotion.BooleanConditionalExprHandler</t>
  </si>
  <si>
    <t>com.github.javaparser.symbolsolver.resolution.promotion.ConditionalExprResolver</t>
  </si>
  <si>
    <t>com.github.javaparser.symbolsolver.resolution.typeinference.bounds.SubtypeOfBound</t>
  </si>
  <si>
    <t>com.github.javaparser.symbolsolver.JavaSymbolSolver</t>
  </si>
  <si>
    <t>com.github.javaparser.utils.SourceRoot.VisitFileCallback</t>
  </si>
  <si>
    <t>com.github.javaparser.utils.SourceZip</t>
  </si>
  <si>
    <t>com.github.javaparser.ParserConfiguration</t>
  </si>
  <si>
    <t>com.github.javaparser.Position</t>
  </si>
  <si>
    <t>com.packageName.InnerStaticClassFieldContainer</t>
  </si>
  <si>
    <t>foo.bar.AnInterface.ListChangeType</t>
  </si>
  <si>
    <t>foo.Foo</t>
  </si>
  <si>
    <t>japa.bdd.samples.JavaConcepts.Enum</t>
  </si>
  <si>
    <t>main.GrandParent.MyEnum</t>
  </si>
  <si>
    <t>com.google.common.jimfs.AbstractWatchService.Event</t>
  </si>
  <si>
    <t>com.google.common.jimfs.AbstractWatchService.State</t>
  </si>
  <si>
    <t>com.google.common.jimfs.FileFactory.DirectorySupplier</t>
  </si>
  <si>
    <t>com.google.common.jimfs.Handler</t>
  </si>
  <si>
    <t>com.google.common.jimfs.OwnerAttributeProvider.View</t>
  </si>
  <si>
    <t>com.google.common.jimfs.PathURLConnection</t>
  </si>
  <si>
    <t>(default package).HotThrow</t>
  </si>
  <si>
    <t>(default package).LoopUnroll</t>
  </si>
  <si>
    <t>(default package).PartialEscapeFail.EscapeConsumer</t>
  </si>
  <si>
    <t>(default package).SimpleInliningTest</t>
  </si>
  <si>
    <t>(default package).TrivialMethod</t>
  </si>
  <si>
    <t>org.adoptopenjdk.jitwatch.chain.CompileNode</t>
  </si>
  <si>
    <t>org.adoptopenjdk.jitwatch.compilation.CompilationUtil</t>
  </si>
  <si>
    <t>org.adoptopenjdk.jitwatch.core.JITWatchConfig.BackgroundCompilation</t>
  </si>
  <si>
    <t>org.adoptopenjdk.jitwatch.histo.AttributeNameHistoWalker</t>
  </si>
  <si>
    <t>org.adoptopenjdk.jitwatch.inline.HeadlessInlineVisitor</t>
  </si>
  <si>
    <t>org.adoptopenjdk.jitwatch.jarscan.invokecount.InvokeCountOperation</t>
  </si>
  <si>
    <t>org.adoptopenjdk.jitwatch.jvmlang.LanguageManager</t>
  </si>
  <si>
    <t>org.adoptopenjdk.jitwatch.model.bytecode.BCParamConstant</t>
  </si>
  <si>
    <t>org.adoptopenjdk.jitwatch.model.bytecode.LineTable</t>
  </si>
  <si>
    <t>org.adoptopenjdk.jitwatch.model.bytecode.UncommonTrap</t>
  </si>
  <si>
    <t>org.adoptopenjdk.jitwatch.model.CompilerName</t>
  </si>
  <si>
    <t>org.adoptopenjdk.jitwatch.parser.hotspot.HotSpotLogParser</t>
  </si>
  <si>
    <t>org.adoptopenjdk.jitwatch.process.compiler.CompilerJRuby</t>
  </si>
  <si>
    <t>org.adoptopenjdk.jitwatch.report.Report</t>
  </si>
  <si>
    <t>org.adoptopenjdk.jitwatch.ui.compilationchooser.CompilationChooser</t>
  </si>
  <si>
    <t>org.adoptopenjdk.jitwatch.ui.compilechain.CompileChainStage</t>
  </si>
  <si>
    <t>org.adoptopenjdk.jitwatch.ui.graphing.CodeCacheStage</t>
  </si>
  <si>
    <t>org.adoptopenjdk.jitwatch.ui.parserchooser.IParserSelectedListener</t>
  </si>
  <si>
    <t>org.adoptopenjdk.jitwatch.ui.sandbox.VMLanguageConfigStage</t>
  </si>
  <si>
    <t>org.adoptopenjdk.jitwatch.ui.viewer.AbstractTextViewerStage</t>
  </si>
  <si>
    <t>org.adoptopenjdk.jitwatch.util.TooltipUtil</t>
  </si>
  <si>
    <t>org.jsoup.examples.ListLinks</t>
  </si>
  <si>
    <t>org.jsoup.helper.HttpConnection.Response</t>
  </si>
  <si>
    <t>org.jsoup.helper.Re2jRegex</t>
  </si>
  <si>
    <t>org.jsoup.helper.ValidationException</t>
  </si>
  <si>
    <t>org.jsoup.nodes.Attributes.Dataset</t>
  </si>
  <si>
    <t>org.jsoup.nodes.DocumentType</t>
  </si>
  <si>
    <t>org.jsoup.nodes.Element</t>
  </si>
  <si>
    <t>org.jsoup.nodes.NodeUtils</t>
  </si>
  <si>
    <t>org.jsoup.parser.Token.EndTag</t>
  </si>
  <si>
    <t>org.jsoup.parser.TreeBuilder</t>
  </si>
  <si>
    <t>org.jsoup.safety.Safelist.Protocol</t>
  </si>
  <si>
    <t>org.jsoup.safety.Safelist.TypedValue</t>
  </si>
  <si>
    <t>org.jsoup.select.Evaluator.AttributeWithValueContaining</t>
  </si>
  <si>
    <t>org.jsoup.select.Evaluator.Class</t>
  </si>
  <si>
    <t>org.jsoup.select.Evaluator.ContainsWholeOwnText</t>
  </si>
  <si>
    <t>org.jsoup.select.Evaluator.IndexEquals</t>
  </si>
  <si>
    <t>org.jsoup.select.Nodes</t>
  </si>
  <si>
    <t>org.jsoup.select.StructuralEvaluator.Not</t>
  </si>
  <si>
    <t>org.jsoup.UnsupportedMimeTypeException</t>
  </si>
  <si>
    <t>com.google.zxing.aztec.encoder.Encoder</t>
  </si>
  <si>
    <t>com.google.zxing.client.android.camera.AutoFocusManager</t>
  </si>
  <si>
    <t>com.google.zxing.client.android.camera.CameraManager</t>
  </si>
  <si>
    <t>com.google.zxing.client.android.result.supplement.BookResultInfoRetriever</t>
  </si>
  <si>
    <t>com.google.zxing.client.android.share.BookmarkPickerActivity</t>
  </si>
  <si>
    <t>com.google.zxing.client.android.AmbientLightManager</t>
  </si>
  <si>
    <t>com.google.zxing.client.android.CaptureActivity</t>
  </si>
  <si>
    <t>com.google.zxing.client.result.SMSTOMMSTOResultParser</t>
  </si>
  <si>
    <t>com.google.zxing.client.result.TextParsedResult</t>
  </si>
  <si>
    <t>com.google.zxing.client.result.WifiParsedResult</t>
  </si>
  <si>
    <t>com.google.zxing.common.reedsolomon.GenericGF</t>
  </si>
  <si>
    <t>com.google.zxing.common.DetectorResult</t>
  </si>
  <si>
    <t>com.google.zxing.common.HybridBinarizer</t>
  </si>
  <si>
    <t>com.google.zxing.datamatrix.decoder.Decoder</t>
  </si>
  <si>
    <t>com.google.zxing.datamatrix.encoder.DataMatrixSymbolInfo144</t>
  </si>
  <si>
    <t>com.google.zxing.datamatrix.encoder.MinimalEncoder.Result</t>
  </si>
  <si>
    <t>com.google.zxing.integration.android.IntentResult</t>
  </si>
  <si>
    <t>com.google.zxing.maxicode.decoder.Decoder</t>
  </si>
  <si>
    <t>com.google.zxing.multi.ByQuadrantReader</t>
  </si>
  <si>
    <t>com.google.zxing.oned.rss.expanded.decoders.BlockParsedResult</t>
  </si>
  <si>
    <t>com.google.zxing.oned.rss.FinderPattern</t>
  </si>
  <si>
    <t>com.google.zxing.oned.Code128Reader</t>
  </si>
  <si>
    <t>com.google.zxing.oned.Code128Writer.Latch</t>
  </si>
  <si>
    <t>com.google.zxing.oned.ITFWriter</t>
  </si>
  <si>
    <t>com.google.zxing.oned.MultiFormatUPCEANReader</t>
  </si>
  <si>
    <t>com.google.zxing.pdf417.decoder.ec.ErrorCorrection</t>
  </si>
  <si>
    <t>com.google.zxing.pdf417.decoder.BoundingBox</t>
  </si>
  <si>
    <t>com.google.zxing.pdf417.detector.Detector</t>
  </si>
  <si>
    <t>com.google.zxing.pdf417.encoder.Compaction</t>
  </si>
  <si>
    <t>com.google.zxing.pdf417.PDF417Common</t>
  </si>
  <si>
    <t>com.google.zxing.web.DecodeServlet</t>
  </si>
  <si>
    <t>com.google.zxing.web.DoSTracker.TrackerTask</t>
  </si>
  <si>
    <t>com.google.zxing.LuminanceSource</t>
  </si>
  <si>
    <t>com.google.zxing.MultiFormatWriter</t>
  </si>
  <si>
    <t>net.bytebuddy.benchmark.jmh.generated.ClassByExtensionBenchmark.benchmarkByteBuddyWithProxy.jmhTest</t>
  </si>
  <si>
    <t>net.bytebuddy.benchmark.jmh.generated.ClassByImplementationBenchmark.benchmarkCglib.jmhTest</t>
  </si>
  <si>
    <t>com.github.javaparser.ast.validator.language.level.validations.chunks.ModifierValidator</t>
  </si>
  <si>
    <t>com.github.javaparser.javasymbolsolver.javassist.symbols.main.jar.ConcreteEnum</t>
  </si>
  <si>
    <t>implements.duplicate.A.DuplicateTypeName</t>
  </si>
  <si>
    <t>package.b.b</t>
  </si>
  <si>
    <t>package.c.c</t>
  </si>
  <si>
    <t>com.github.javaparser.symbolsolver.javaparsermodel</t>
  </si>
  <si>
    <t>JavaParserFacade</t>
  </si>
  <si>
    <t>JavaSymbolSolver</t>
  </si>
  <si>
    <t>net.bytebuddy.asm</t>
  </si>
  <si>
    <t>MemberSubstitution</t>
  </si>
  <si>
    <t>com.github.javaparser.ast</t>
  </si>
  <si>
    <t>ByteBuddy</t>
  </si>
  <si>
    <t>net.bytebuddy.agent.builder</t>
  </si>
  <si>
    <t>AgentBuilder</t>
  </si>
  <si>
    <t>Advice</t>
  </si>
  <si>
    <t>Element</t>
  </si>
  <si>
    <t>ElementMatchers</t>
  </si>
  <si>
    <t>CompilationUnit</t>
  </si>
  <si>
    <t>Hub-like Modularization</t>
  </si>
  <si>
    <t>codex</t>
  </si>
  <si>
    <t>TP</t>
  </si>
  <si>
    <t>TN</t>
  </si>
  <si>
    <t>FP</t>
  </si>
  <si>
    <t>FN</t>
  </si>
  <si>
    <t>Pr</t>
  </si>
  <si>
    <t>Rc</t>
  </si>
  <si>
    <t>F1</t>
  </si>
  <si>
    <t>MCC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</si>
</sst>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8A6F-C1FA-46B4-89BF-F6B54FFFB175}">
  <dimension ref="A1:L361"/>
  <sheetViews>
    <sheetView tabSelected="1" topLeftCell="G1" workbookViewId="0">
      <selection activeCell="K12" sqref="K12"/>
    </sheetView>
  </sheetViews>
  <sheetFormatPr defaultRowHeight="15" x14ac:dyDescent="0.25"/>
  <cols>
    <col min="1" max="1" width="18.140625" bestFit="1" customWidth="1"/>
    <col min="2" max="2" width="25.140625" bestFit="1" customWidth="1"/>
    <col min="3" max="3" width="125.5703125" bestFit="1" customWidth="1"/>
    <col min="4" max="4" width="42.140625" bestFit="1" customWidth="1"/>
    <col min="5" max="5" width="105.42578125" bestFit="1" customWidth="1"/>
    <col min="6" max="6" width="133.42578125" bestFit="1" customWidth="1"/>
    <col min="7" max="7" width="12.28515625" bestFit="1" customWidth="1"/>
    <col min="8" max="8" width="14.5703125" style="3" bestFit="1" customWidth="1"/>
    <col min="9" max="9" width="15.5703125" style="3" customWidth="1"/>
    <col min="11" max="11" width="12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200</v>
      </c>
      <c r="F1" s="1" t="s">
        <v>4</v>
      </c>
      <c r="G1" s="1" t="s">
        <v>5</v>
      </c>
      <c r="H1" s="2" t="s">
        <v>201</v>
      </c>
      <c r="I1" s="2" t="s">
        <v>1296</v>
      </c>
    </row>
    <row r="2" spans="1:12" x14ac:dyDescent="0.25">
      <c r="A2" t="s">
        <v>8</v>
      </c>
      <c r="B2" s="3" t="s">
        <v>1295</v>
      </c>
      <c r="C2" t="s">
        <v>1289</v>
      </c>
      <c r="D2" t="s">
        <v>1290</v>
      </c>
      <c r="E2" t="s">
        <v>962</v>
      </c>
      <c r="G2">
        <v>16845</v>
      </c>
      <c r="H2" s="3">
        <v>1</v>
      </c>
      <c r="I2" s="3">
        <f>VLOOKUP(E2,codex!$A$1:$B$358,2,0)</f>
        <v>1</v>
      </c>
      <c r="K2" t="s">
        <v>1297</v>
      </c>
      <c r="L2">
        <f>COUNTIFS(H2:H361,1,I2:I361,1)</f>
        <v>10</v>
      </c>
    </row>
    <row r="3" spans="1:12" x14ac:dyDescent="0.25">
      <c r="A3" t="s">
        <v>8</v>
      </c>
      <c r="B3" s="3" t="s">
        <v>1295</v>
      </c>
      <c r="C3" t="s">
        <v>123</v>
      </c>
      <c r="D3" t="s">
        <v>1293</v>
      </c>
      <c r="E3" t="s">
        <v>1056</v>
      </c>
      <c r="G3">
        <v>10914</v>
      </c>
      <c r="H3" s="3">
        <v>1</v>
      </c>
      <c r="I3" s="3">
        <f>VLOOKUP(E3,codex!$A$1:$B$358,2,0)</f>
        <v>1</v>
      </c>
      <c r="K3" t="s">
        <v>1298</v>
      </c>
      <c r="L3">
        <f>COUNTIFS(H2:H361,0,I2:I361,0)</f>
        <v>337</v>
      </c>
    </row>
    <row r="4" spans="1:12" x14ac:dyDescent="0.25">
      <c r="A4" t="s">
        <v>8</v>
      </c>
      <c r="B4" s="3" t="s">
        <v>1295</v>
      </c>
      <c r="C4" t="s">
        <v>1285</v>
      </c>
      <c r="D4" t="s">
        <v>1291</v>
      </c>
      <c r="E4" t="s">
        <v>968</v>
      </c>
      <c r="G4">
        <v>16814</v>
      </c>
      <c r="H4" s="3">
        <v>1</v>
      </c>
      <c r="I4" s="3">
        <f>VLOOKUP(E4,codex!$A$1:$B$358,2,0)</f>
        <v>1</v>
      </c>
      <c r="K4" t="s">
        <v>1299</v>
      </c>
      <c r="L4">
        <f>COUNTIFS(H2:H361,0,I2:I361,1)</f>
        <v>13</v>
      </c>
    </row>
    <row r="5" spans="1:12" x14ac:dyDescent="0.25">
      <c r="A5" t="s">
        <v>8</v>
      </c>
      <c r="B5" s="3" t="s">
        <v>1295</v>
      </c>
      <c r="C5" t="s">
        <v>1285</v>
      </c>
      <c r="D5" t="s">
        <v>1286</v>
      </c>
      <c r="E5" t="s">
        <v>46</v>
      </c>
      <c r="G5">
        <v>12594</v>
      </c>
      <c r="H5" s="3">
        <v>1</v>
      </c>
      <c r="I5" s="3">
        <f>VLOOKUP(E5,codex!$A$1:$B$358,2,0)</f>
        <v>1</v>
      </c>
      <c r="K5" t="s">
        <v>1300</v>
      </c>
      <c r="L5">
        <f>COUNTIFS(H2:H361,1,I2:I361,0)</f>
        <v>0</v>
      </c>
    </row>
    <row r="6" spans="1:12" x14ac:dyDescent="0.25">
      <c r="A6" t="s">
        <v>8</v>
      </c>
      <c r="B6" s="3" t="s">
        <v>1295</v>
      </c>
      <c r="C6" t="s">
        <v>22</v>
      </c>
      <c r="D6" t="s">
        <v>1288</v>
      </c>
      <c r="E6" t="s">
        <v>906</v>
      </c>
      <c r="G6">
        <v>13466</v>
      </c>
      <c r="H6" s="3">
        <v>1</v>
      </c>
      <c r="I6" s="3">
        <f>VLOOKUP(E6,codex!$A$1:$B$358,2,0)</f>
        <v>1</v>
      </c>
    </row>
    <row r="7" spans="1:12" x14ac:dyDescent="0.25">
      <c r="A7" t="s">
        <v>53</v>
      </c>
      <c r="B7" s="3" t="s">
        <v>1295</v>
      </c>
      <c r="C7" t="s">
        <v>122</v>
      </c>
      <c r="D7" t="s">
        <v>1292</v>
      </c>
      <c r="E7" t="s">
        <v>1228</v>
      </c>
      <c r="G7">
        <v>4742</v>
      </c>
      <c r="H7" s="3">
        <v>1</v>
      </c>
      <c r="I7" s="3">
        <f>VLOOKUP(E7,codex!$A$1:$B$358,2,0)</f>
        <v>1</v>
      </c>
      <c r="K7" t="s">
        <v>1301</v>
      </c>
      <c r="L7">
        <f>IFERROR(L2/(L2+L4),0)</f>
        <v>0.43478260869565216</v>
      </c>
    </row>
    <row r="8" spans="1:12" x14ac:dyDescent="0.25">
      <c r="A8" t="s">
        <v>31</v>
      </c>
      <c r="B8" s="3" t="s">
        <v>1295</v>
      </c>
      <c r="C8" t="s">
        <v>78</v>
      </c>
      <c r="D8" t="s">
        <v>160</v>
      </c>
      <c r="E8" t="s">
        <v>181</v>
      </c>
      <c r="G8">
        <v>5856</v>
      </c>
      <c r="H8" s="3">
        <v>1</v>
      </c>
      <c r="I8" s="3">
        <f>VLOOKUP(E8,codex!$A$1:$B$358,2,0)</f>
        <v>1</v>
      </c>
      <c r="K8" t="s">
        <v>1302</v>
      </c>
      <c r="L8">
        <f>IFERROR(L2/(L2+L5),0)</f>
        <v>1</v>
      </c>
    </row>
    <row r="9" spans="1:12" x14ac:dyDescent="0.25">
      <c r="A9" t="s">
        <v>6</v>
      </c>
      <c r="B9" s="3" t="s">
        <v>1295</v>
      </c>
      <c r="C9" t="s">
        <v>133</v>
      </c>
      <c r="D9" t="s">
        <v>1284</v>
      </c>
      <c r="E9" t="s">
        <v>1180</v>
      </c>
      <c r="G9">
        <v>6074</v>
      </c>
      <c r="H9" s="3">
        <v>1</v>
      </c>
      <c r="I9" s="3">
        <f>VLOOKUP(E9,codex!$A$1:$B$358,2,0)</f>
        <v>1</v>
      </c>
      <c r="K9" t="s">
        <v>1303</v>
      </c>
      <c r="L9">
        <f>IFERROR(2*L7*L8/(L7+L8),0)</f>
        <v>0.60606060606060608</v>
      </c>
    </row>
    <row r="10" spans="1:12" x14ac:dyDescent="0.25">
      <c r="A10" t="s">
        <v>6</v>
      </c>
      <c r="B10" s="3" t="s">
        <v>1295</v>
      </c>
      <c r="C10" t="s">
        <v>1282</v>
      </c>
      <c r="D10" t="s">
        <v>1283</v>
      </c>
      <c r="E10" t="s">
        <v>1171</v>
      </c>
      <c r="G10">
        <v>20287</v>
      </c>
      <c r="H10" s="3">
        <v>1</v>
      </c>
      <c r="I10" s="3">
        <f>VLOOKUP(E10,codex!$A$1:$B$358,2,0)</f>
        <v>1</v>
      </c>
      <c r="K10" t="s">
        <v>1304</v>
      </c>
      <c r="L10">
        <f>IFERROR(((L2*L3)-(L4*L5))/SQRT((L2+L4)*(L2+L5)*(L3+L4)*(L3+L5)),0)</f>
        <v>0.64701896446137563</v>
      </c>
    </row>
    <row r="11" spans="1:12" x14ac:dyDescent="0.25">
      <c r="A11" t="s">
        <v>6</v>
      </c>
      <c r="B11" s="3" t="s">
        <v>1295</v>
      </c>
      <c r="C11" t="s">
        <v>1287</v>
      </c>
      <c r="D11" t="s">
        <v>1294</v>
      </c>
      <c r="E11" t="s">
        <v>1144</v>
      </c>
      <c r="G11">
        <v>44654</v>
      </c>
      <c r="H11" s="3">
        <v>1</v>
      </c>
      <c r="I11" s="3">
        <f>VLOOKUP(E11,codex!$A$1:$B$358,2,0)</f>
        <v>1</v>
      </c>
    </row>
    <row r="12" spans="1:12" x14ac:dyDescent="0.25">
      <c r="A12" t="s">
        <v>18</v>
      </c>
      <c r="B12" s="3" t="s">
        <v>1295</v>
      </c>
      <c r="C12" t="s">
        <v>206</v>
      </c>
      <c r="D12" t="s">
        <v>207</v>
      </c>
      <c r="E12" t="str">
        <f t="shared" ref="E12:E66" si="0">C12&amp;"."&amp;D12</f>
        <v>com.google.zxing.oned.Code128Writer.Latch</v>
      </c>
      <c r="F12" t="s">
        <v>208</v>
      </c>
      <c r="G12">
        <v>358</v>
      </c>
      <c r="H12" s="3">
        <v>0</v>
      </c>
      <c r="I12" s="3">
        <f>VLOOKUP(E12,codex!$A$1:$B$358,2,0)</f>
        <v>0</v>
      </c>
    </row>
    <row r="13" spans="1:12" x14ac:dyDescent="0.25">
      <c r="A13" t="s">
        <v>18</v>
      </c>
      <c r="B13" s="3" t="s">
        <v>1295</v>
      </c>
      <c r="C13" t="s">
        <v>112</v>
      </c>
      <c r="D13" t="s">
        <v>209</v>
      </c>
      <c r="E13" t="str">
        <f t="shared" si="0"/>
        <v>com.google.zxing.client.result.WifiParsedResult</v>
      </c>
      <c r="F13" t="s">
        <v>210</v>
      </c>
      <c r="G13">
        <v>480</v>
      </c>
      <c r="H13" s="3">
        <v>0</v>
      </c>
      <c r="I13" s="3">
        <f>VLOOKUP(E13,codex!$A$1:$B$358,2,0)</f>
        <v>0</v>
      </c>
    </row>
    <row r="14" spans="1:12" x14ac:dyDescent="0.25">
      <c r="A14" t="s">
        <v>34</v>
      </c>
      <c r="B14" s="3" t="s">
        <v>1295</v>
      </c>
      <c r="C14" t="s">
        <v>154</v>
      </c>
      <c r="D14" t="s">
        <v>211</v>
      </c>
      <c r="E14" t="str">
        <f t="shared" si="0"/>
        <v>org.apache.commons.lang3.function.FailableBiPredicate</v>
      </c>
      <c r="F14" t="s">
        <v>212</v>
      </c>
      <c r="G14">
        <v>511</v>
      </c>
      <c r="H14" s="3">
        <v>0</v>
      </c>
      <c r="I14" s="3">
        <f>VLOOKUP(E14,codex!$A$1:$B$358,2,0)</f>
        <v>0</v>
      </c>
    </row>
    <row r="15" spans="1:12" x14ac:dyDescent="0.25">
      <c r="A15" t="s">
        <v>8</v>
      </c>
      <c r="B15" s="3" t="s">
        <v>1295</v>
      </c>
      <c r="C15" t="s">
        <v>203</v>
      </c>
      <c r="D15" t="s">
        <v>213</v>
      </c>
      <c r="E15" t="str">
        <f t="shared" si="0"/>
        <v>net.bytebuddy.utility.JavaConstant.OfClassDesc</v>
      </c>
      <c r="F15" t="s">
        <v>214</v>
      </c>
      <c r="G15">
        <v>810</v>
      </c>
      <c r="H15" s="3">
        <v>0</v>
      </c>
      <c r="I15" s="3">
        <f>VLOOKUP(E15,codex!$A$1:$B$358,2,0)</f>
        <v>0</v>
      </c>
    </row>
    <row r="16" spans="1:12" x14ac:dyDescent="0.25">
      <c r="A16" t="s">
        <v>8</v>
      </c>
      <c r="B16" s="3" t="s">
        <v>1295</v>
      </c>
      <c r="C16" t="s">
        <v>62</v>
      </c>
      <c r="D16" t="s">
        <v>215</v>
      </c>
      <c r="E16" t="str">
        <f t="shared" si="0"/>
        <v>net.bytebuddy.build.Plugin.ForJarOutputStream</v>
      </c>
      <c r="F16" t="s">
        <v>216</v>
      </c>
      <c r="G16">
        <v>509</v>
      </c>
      <c r="H16" s="3">
        <v>0</v>
      </c>
      <c r="I16" s="3">
        <f>VLOOKUP(E16,codex!$A$1:$B$358,2,0)</f>
        <v>0</v>
      </c>
    </row>
    <row r="17" spans="1:9" x14ac:dyDescent="0.25">
      <c r="A17" t="s">
        <v>14</v>
      </c>
      <c r="B17" s="3" t="s">
        <v>1295</v>
      </c>
      <c r="C17" t="s">
        <v>15</v>
      </c>
      <c r="D17" t="s">
        <v>217</v>
      </c>
      <c r="E17" t="str">
        <f t="shared" si="0"/>
        <v>org.apache.commons.io.CopyUtils</v>
      </c>
      <c r="F17" t="s">
        <v>218</v>
      </c>
      <c r="G17">
        <v>474</v>
      </c>
      <c r="H17" s="3">
        <v>0</v>
      </c>
      <c r="I17" s="3">
        <f>VLOOKUP(E17,codex!$A$1:$B$358,2,0)</f>
        <v>0</v>
      </c>
    </row>
    <row r="18" spans="1:9" x14ac:dyDescent="0.25">
      <c r="A18" t="s">
        <v>8</v>
      </c>
      <c r="B18" s="3" t="s">
        <v>1295</v>
      </c>
      <c r="C18" t="s">
        <v>219</v>
      </c>
      <c r="D18" t="s">
        <v>43</v>
      </c>
      <c r="E18" t="str">
        <f t="shared" si="0"/>
        <v>net.bytebuddy.benchmark.jmh.generated.ClassByImplementationBenchmark.benchmarkJdkProxy.jmhTest</v>
      </c>
      <c r="F18" t="s">
        <v>220</v>
      </c>
      <c r="G18">
        <v>4425</v>
      </c>
      <c r="H18" s="3">
        <v>0</v>
      </c>
      <c r="I18" s="3">
        <v>0</v>
      </c>
    </row>
    <row r="19" spans="1:9" x14ac:dyDescent="0.25">
      <c r="A19" t="s">
        <v>34</v>
      </c>
      <c r="B19" s="3" t="s">
        <v>1295</v>
      </c>
      <c r="C19" t="s">
        <v>38</v>
      </c>
      <c r="D19" t="s">
        <v>221</v>
      </c>
      <c r="E19" t="str">
        <f t="shared" si="0"/>
        <v>org.apache.commons.lang3.concurrent.UncheckedExecutionException</v>
      </c>
      <c r="F19" t="s">
        <v>222</v>
      </c>
      <c r="G19">
        <v>248</v>
      </c>
      <c r="H19" s="3">
        <v>0</v>
      </c>
      <c r="I19" s="3">
        <f>VLOOKUP(E19,codex!$A$1:$B$358,2,0)</f>
        <v>0</v>
      </c>
    </row>
    <row r="20" spans="1:9" x14ac:dyDescent="0.25">
      <c r="A20" t="s">
        <v>8</v>
      </c>
      <c r="B20" s="3" t="s">
        <v>1295</v>
      </c>
      <c r="C20" t="s">
        <v>91</v>
      </c>
      <c r="D20" t="s">
        <v>223</v>
      </c>
      <c r="E20" t="str">
        <f t="shared" si="0"/>
        <v>net.bytebuddy.description.type.TypeDescription.OfAnnotatedElement</v>
      </c>
      <c r="F20" t="s">
        <v>224</v>
      </c>
      <c r="G20">
        <v>249</v>
      </c>
      <c r="H20" s="3">
        <v>0</v>
      </c>
      <c r="I20" s="3">
        <f>VLOOKUP(E20,codex!$A$1:$B$358,2,0)</f>
        <v>0</v>
      </c>
    </row>
    <row r="21" spans="1:9" x14ac:dyDescent="0.25">
      <c r="A21" t="s">
        <v>8</v>
      </c>
      <c r="B21" s="3" t="s">
        <v>1295</v>
      </c>
      <c r="C21" t="s">
        <v>190</v>
      </c>
      <c r="D21" t="s">
        <v>225</v>
      </c>
      <c r="E21" t="str">
        <f t="shared" si="0"/>
        <v>net.bytebuddy.dynamic.TypeResolutionStrategy.Passive</v>
      </c>
      <c r="F21" t="s">
        <v>226</v>
      </c>
      <c r="G21">
        <v>248</v>
      </c>
      <c r="H21" s="3">
        <v>0</v>
      </c>
      <c r="I21" s="3">
        <f>VLOOKUP(E21,codex!$A$1:$B$358,2,0)</f>
        <v>0</v>
      </c>
    </row>
    <row r="22" spans="1:9" x14ac:dyDescent="0.25">
      <c r="A22" t="s">
        <v>8</v>
      </c>
      <c r="B22" s="3" t="s">
        <v>1295</v>
      </c>
      <c r="C22" t="s">
        <v>84</v>
      </c>
      <c r="D22" t="s">
        <v>85</v>
      </c>
      <c r="E22" t="str">
        <f t="shared" si="0"/>
        <v>net.bytebuddy.implementation.attribute.AnnotationAppender.OnField</v>
      </c>
      <c r="F22" t="s">
        <v>227</v>
      </c>
      <c r="G22">
        <v>263</v>
      </c>
      <c r="H22" s="3">
        <v>0</v>
      </c>
      <c r="I22" s="3">
        <f>VLOOKUP(E22,codex!$A$1:$B$358,2,0)</f>
        <v>0</v>
      </c>
    </row>
    <row r="23" spans="1:9" x14ac:dyDescent="0.25">
      <c r="A23" t="s">
        <v>8</v>
      </c>
      <c r="B23" s="3" t="s">
        <v>1295</v>
      </c>
      <c r="C23" t="s">
        <v>228</v>
      </c>
      <c r="D23" t="s">
        <v>229</v>
      </c>
      <c r="E23" t="str">
        <f t="shared" si="0"/>
        <v>com.service.definition.ServiceDefinition</v>
      </c>
      <c r="F23" t="s">
        <v>230</v>
      </c>
      <c r="G23">
        <v>244</v>
      </c>
      <c r="H23" s="3">
        <v>0</v>
      </c>
      <c r="I23" s="3">
        <f>VLOOKUP(E23,codex!$A$1:$B$358,2,0)</f>
        <v>0</v>
      </c>
    </row>
    <row r="24" spans="1:9" x14ac:dyDescent="0.25">
      <c r="A24" t="s">
        <v>18</v>
      </c>
      <c r="B24" s="3" t="s">
        <v>1295</v>
      </c>
      <c r="C24" t="s">
        <v>77</v>
      </c>
      <c r="D24" t="s">
        <v>231</v>
      </c>
      <c r="E24" t="str">
        <f t="shared" si="0"/>
        <v>com.google.zxing.datamatrix.encoder.DataMatrixSymbolInfo144</v>
      </c>
      <c r="F24" t="s">
        <v>232</v>
      </c>
      <c r="G24">
        <v>252</v>
      </c>
      <c r="H24" s="3">
        <v>0</v>
      </c>
      <c r="I24" s="3">
        <f>VLOOKUP(E24,codex!$A$1:$B$358,2,0)</f>
        <v>0</v>
      </c>
    </row>
    <row r="25" spans="1:9" x14ac:dyDescent="0.25">
      <c r="A25" t="s">
        <v>53</v>
      </c>
      <c r="B25" s="3" t="s">
        <v>1295</v>
      </c>
      <c r="C25" t="s">
        <v>233</v>
      </c>
      <c r="D25" t="s">
        <v>151</v>
      </c>
      <c r="E25" t="str">
        <f t="shared" si="0"/>
        <v>org.jsoup.helper.HttpConnection.Response</v>
      </c>
      <c r="F25" t="s">
        <v>234</v>
      </c>
      <c r="G25">
        <v>892</v>
      </c>
      <c r="H25" s="3">
        <v>0</v>
      </c>
      <c r="I25" s="3">
        <f>VLOOKUP(E25,codex!$A$1:$B$358,2,0)</f>
        <v>0</v>
      </c>
    </row>
    <row r="26" spans="1:9" x14ac:dyDescent="0.25">
      <c r="A26" t="s">
        <v>6</v>
      </c>
      <c r="B26" s="3" t="s">
        <v>1295</v>
      </c>
      <c r="C26" t="s">
        <v>235</v>
      </c>
      <c r="D26" t="s">
        <v>117</v>
      </c>
      <c r="E26" t="str">
        <f t="shared" si="0"/>
        <v>(default package).InnerClassContainer.InnerClass</v>
      </c>
      <c r="F26" t="s">
        <v>236</v>
      </c>
      <c r="G26">
        <v>246</v>
      </c>
      <c r="H26" s="3">
        <v>0</v>
      </c>
      <c r="I26" s="3">
        <f>VLOOKUP(E26,codex!$A$1:$B$358,2,0)</f>
        <v>0</v>
      </c>
    </row>
    <row r="27" spans="1:9" x14ac:dyDescent="0.25">
      <c r="A27" t="s">
        <v>6</v>
      </c>
      <c r="B27" s="3" t="s">
        <v>1295</v>
      </c>
      <c r="C27" t="s">
        <v>10</v>
      </c>
      <c r="D27" t="s">
        <v>237</v>
      </c>
      <c r="E27" t="str">
        <f t="shared" si="0"/>
        <v>com.packageName.InnerStaticClassFieldContainer</v>
      </c>
      <c r="F27" t="s">
        <v>238</v>
      </c>
      <c r="G27">
        <v>291</v>
      </c>
      <c r="H27" s="3">
        <v>0</v>
      </c>
      <c r="I27" s="3">
        <f>VLOOKUP(E27,codex!$A$1:$B$358,2,0)</f>
        <v>0</v>
      </c>
    </row>
    <row r="28" spans="1:9" x14ac:dyDescent="0.25">
      <c r="A28" t="s">
        <v>8</v>
      </c>
      <c r="B28" s="3" t="s">
        <v>1295</v>
      </c>
      <c r="C28" t="s">
        <v>239</v>
      </c>
      <c r="D28" t="s">
        <v>17</v>
      </c>
      <c r="E28" t="str">
        <f t="shared" si="0"/>
        <v>net.bytebuddy.implementation.attribute.FieldAttributeAppender.Compound</v>
      </c>
      <c r="F28" t="s">
        <v>240</v>
      </c>
      <c r="G28">
        <v>355</v>
      </c>
      <c r="H28" s="3">
        <v>0</v>
      </c>
      <c r="I28" s="3">
        <f>VLOOKUP(E28,codex!$A$1:$B$358,2,0)</f>
        <v>0</v>
      </c>
    </row>
    <row r="29" spans="1:9" x14ac:dyDescent="0.25">
      <c r="A29" t="s">
        <v>18</v>
      </c>
      <c r="B29" s="3" t="s">
        <v>1295</v>
      </c>
      <c r="C29" t="s">
        <v>82</v>
      </c>
      <c r="D29" t="s">
        <v>241</v>
      </c>
      <c r="E29" t="str">
        <f t="shared" si="0"/>
        <v>com.google.zxing.common.DetectorResult</v>
      </c>
      <c r="F29" t="s">
        <v>242</v>
      </c>
      <c r="G29">
        <v>854</v>
      </c>
      <c r="H29" s="3">
        <v>0</v>
      </c>
      <c r="I29" s="3">
        <f>VLOOKUP(E29,codex!$A$1:$B$358,2,0)</f>
        <v>0</v>
      </c>
    </row>
    <row r="30" spans="1:9" x14ac:dyDescent="0.25">
      <c r="A30" t="s">
        <v>14</v>
      </c>
      <c r="B30" s="3" t="s">
        <v>1295</v>
      </c>
      <c r="C30" t="s">
        <v>24</v>
      </c>
      <c r="D30" t="s">
        <v>51</v>
      </c>
      <c r="E30" t="str">
        <f t="shared" si="0"/>
        <v>org.apache.commons.io.input.UncheckedFilterReader</v>
      </c>
      <c r="F30" t="s">
        <v>243</v>
      </c>
      <c r="G30">
        <v>498</v>
      </c>
      <c r="H30" s="3">
        <v>0</v>
      </c>
      <c r="I30" s="3">
        <f>VLOOKUP(E30,codex!$A$1:$B$358,2,0)</f>
        <v>0</v>
      </c>
    </row>
    <row r="31" spans="1:9" x14ac:dyDescent="0.25">
      <c r="A31" t="s">
        <v>53</v>
      </c>
      <c r="B31" s="3" t="s">
        <v>1295</v>
      </c>
      <c r="C31" t="s">
        <v>90</v>
      </c>
      <c r="D31" t="s">
        <v>244</v>
      </c>
      <c r="E31" t="str">
        <f t="shared" si="0"/>
        <v>org.jsoup.helper.Re2jRegex</v>
      </c>
      <c r="F31" t="s">
        <v>245</v>
      </c>
      <c r="G31">
        <v>365</v>
      </c>
      <c r="H31" s="3">
        <v>0</v>
      </c>
      <c r="I31" s="3">
        <f>VLOOKUP(E31,codex!$A$1:$B$358,2,0)</f>
        <v>0</v>
      </c>
    </row>
    <row r="32" spans="1:9" x14ac:dyDescent="0.25">
      <c r="A32" t="s">
        <v>20</v>
      </c>
      <c r="B32" s="3" t="s">
        <v>1295</v>
      </c>
      <c r="C32" t="s">
        <v>65</v>
      </c>
      <c r="D32" t="s">
        <v>66</v>
      </c>
      <c r="E32" t="str">
        <f t="shared" si="0"/>
        <v>org.adoptopenjdk.jitwatch.model.assembly.AssemblyInstruction</v>
      </c>
      <c r="F32" t="s">
        <v>246</v>
      </c>
      <c r="G32">
        <v>1430</v>
      </c>
      <c r="H32" s="3">
        <v>0</v>
      </c>
      <c r="I32" s="3">
        <f>VLOOKUP(E32,codex!$A$1:$B$358,2,0)</f>
        <v>0</v>
      </c>
    </row>
    <row r="33" spans="1:9" x14ac:dyDescent="0.25">
      <c r="A33" t="s">
        <v>6</v>
      </c>
      <c r="B33" s="3" t="s">
        <v>1295</v>
      </c>
      <c r="C33" t="s">
        <v>247</v>
      </c>
      <c r="D33" t="s">
        <v>248</v>
      </c>
      <c r="E33" t="str">
        <f t="shared" si="0"/>
        <v>com.github.javaparser.symbolsolver.resolution.promotion.BooleanConditionalExprHandler</v>
      </c>
      <c r="F33" t="s">
        <v>249</v>
      </c>
      <c r="G33">
        <v>438</v>
      </c>
      <c r="H33" s="3">
        <v>0</v>
      </c>
      <c r="I33" s="3">
        <f>VLOOKUP(E33,codex!$A$1:$B$358,2,0)</f>
        <v>0</v>
      </c>
    </row>
    <row r="34" spans="1:9" x14ac:dyDescent="0.25">
      <c r="A34" t="s">
        <v>20</v>
      </c>
      <c r="B34" s="3" t="s">
        <v>1295</v>
      </c>
      <c r="C34" t="s">
        <v>21</v>
      </c>
      <c r="D34" t="s">
        <v>250</v>
      </c>
      <c r="E34" t="str">
        <f t="shared" si="0"/>
        <v>(default package).HotThrow</v>
      </c>
      <c r="F34" t="s">
        <v>251</v>
      </c>
      <c r="G34">
        <v>243</v>
      </c>
      <c r="H34" s="3">
        <v>0</v>
      </c>
      <c r="I34" s="3">
        <f>VLOOKUP(E34,codex!$A$1:$B$358,2,0)</f>
        <v>0</v>
      </c>
    </row>
    <row r="35" spans="1:9" x14ac:dyDescent="0.25">
      <c r="A35" t="s">
        <v>14</v>
      </c>
      <c r="B35" s="3" t="s">
        <v>1295</v>
      </c>
      <c r="C35" t="s">
        <v>130</v>
      </c>
      <c r="D35" t="s">
        <v>252</v>
      </c>
      <c r="E35" t="str">
        <f t="shared" si="0"/>
        <v>org.apache.commons.io.comparator.ExtensionFileComparator</v>
      </c>
      <c r="F35" t="s">
        <v>253</v>
      </c>
      <c r="G35">
        <v>345</v>
      </c>
      <c r="H35" s="3">
        <v>0</v>
      </c>
      <c r="I35" s="3">
        <f>VLOOKUP(E35,codex!$A$1:$B$358,2,0)</f>
        <v>0</v>
      </c>
    </row>
    <row r="36" spans="1:9" x14ac:dyDescent="0.25">
      <c r="A36" t="s">
        <v>34</v>
      </c>
      <c r="B36" s="3" t="s">
        <v>1295</v>
      </c>
      <c r="C36" t="s">
        <v>254</v>
      </c>
      <c r="D36" t="s">
        <v>25</v>
      </c>
      <c r="E36" t="str">
        <f t="shared" si="0"/>
        <v>org.apache.commons.lang3.concurrent.AtomicInitializer.Builder</v>
      </c>
      <c r="F36" t="s">
        <v>255</v>
      </c>
      <c r="G36">
        <v>328</v>
      </c>
      <c r="H36" s="3">
        <v>0</v>
      </c>
      <c r="I36" s="3">
        <f>VLOOKUP(E36,codex!$A$1:$B$358,2,0)</f>
        <v>0</v>
      </c>
    </row>
    <row r="37" spans="1:9" x14ac:dyDescent="0.25">
      <c r="A37" t="s">
        <v>8</v>
      </c>
      <c r="B37" s="3" t="s">
        <v>1295</v>
      </c>
      <c r="C37" t="s">
        <v>123</v>
      </c>
      <c r="D37" t="s">
        <v>256</v>
      </c>
      <c r="E37" t="str">
        <f t="shared" si="0"/>
        <v>net.bytebuddy.matcher.ErasureMatcher</v>
      </c>
      <c r="F37" t="s">
        <v>257</v>
      </c>
      <c r="G37">
        <v>323</v>
      </c>
      <c r="H37" s="3">
        <v>0</v>
      </c>
      <c r="I37" s="3">
        <f>VLOOKUP(E37,codex!$A$1:$B$358,2,0)</f>
        <v>0</v>
      </c>
    </row>
    <row r="38" spans="1:9" x14ac:dyDescent="0.25">
      <c r="A38" t="s">
        <v>8</v>
      </c>
      <c r="B38" s="3" t="s">
        <v>1295</v>
      </c>
      <c r="C38" t="s">
        <v>161</v>
      </c>
      <c r="D38" t="s">
        <v>258</v>
      </c>
      <c r="E38" t="str">
        <f t="shared" si="0"/>
        <v>net.bytebuddy.build.gradle.android.ByteBuddyLocalClassesEnhancerTask</v>
      </c>
      <c r="F38" t="s">
        <v>259</v>
      </c>
      <c r="G38">
        <v>1607</v>
      </c>
      <c r="H38" s="3">
        <v>0</v>
      </c>
      <c r="I38" s="3">
        <f>VLOOKUP(E38,codex!$A$1:$B$358,2,0)</f>
        <v>0</v>
      </c>
    </row>
    <row r="39" spans="1:9" x14ac:dyDescent="0.25">
      <c r="A39" t="s">
        <v>14</v>
      </c>
      <c r="B39" s="3" t="s">
        <v>1295</v>
      </c>
      <c r="C39" t="s">
        <v>260</v>
      </c>
      <c r="D39" t="s">
        <v>25</v>
      </c>
      <c r="E39" t="str">
        <f t="shared" si="0"/>
        <v>org.apache.commons.io.input.MessageDigestCalculatingInputStream.Builder</v>
      </c>
      <c r="F39" t="s">
        <v>261</v>
      </c>
      <c r="G39">
        <v>302</v>
      </c>
      <c r="H39" s="3">
        <v>0</v>
      </c>
      <c r="I39" s="3">
        <f>VLOOKUP(E39,codex!$A$1:$B$358,2,0)</f>
        <v>0</v>
      </c>
    </row>
    <row r="40" spans="1:9" x14ac:dyDescent="0.25">
      <c r="A40" t="s">
        <v>6</v>
      </c>
      <c r="B40" s="3" t="s">
        <v>1295</v>
      </c>
      <c r="C40" t="s">
        <v>109</v>
      </c>
      <c r="D40" t="s">
        <v>262</v>
      </c>
      <c r="E40" t="str">
        <f t="shared" si="0"/>
        <v>com.github.javaparser.ast.validator.postprocessors.Java22PostProcessor</v>
      </c>
      <c r="F40" t="s">
        <v>263</v>
      </c>
      <c r="G40">
        <v>252</v>
      </c>
      <c r="H40" s="3">
        <v>0</v>
      </c>
      <c r="I40" s="3">
        <f>VLOOKUP(E40,codex!$A$1:$B$358,2,0)</f>
        <v>0</v>
      </c>
    </row>
    <row r="41" spans="1:9" x14ac:dyDescent="0.25">
      <c r="A41" t="s">
        <v>18</v>
      </c>
      <c r="B41" s="3" t="s">
        <v>1295</v>
      </c>
      <c r="C41" t="s">
        <v>264</v>
      </c>
      <c r="D41" t="s">
        <v>265</v>
      </c>
      <c r="E41" t="str">
        <f t="shared" si="0"/>
        <v>com.google.zxing.pdf417.encoder.Compaction</v>
      </c>
      <c r="F41" t="s">
        <v>266</v>
      </c>
      <c r="G41">
        <v>606</v>
      </c>
      <c r="H41" s="3">
        <v>0</v>
      </c>
      <c r="I41" s="3">
        <f>VLOOKUP(E41,codex!$A$1:$B$358,2,0)</f>
        <v>0</v>
      </c>
    </row>
    <row r="42" spans="1:9" x14ac:dyDescent="0.25">
      <c r="A42" t="s">
        <v>8</v>
      </c>
      <c r="B42" s="3" t="s">
        <v>1295</v>
      </c>
      <c r="C42" t="s">
        <v>13</v>
      </c>
      <c r="D42" t="s">
        <v>267</v>
      </c>
      <c r="E42" t="str">
        <f t="shared" si="0"/>
        <v>net.bytebuddy.description.type.RecordComponentDescription.RecordComponent</v>
      </c>
      <c r="F42" t="s">
        <v>268</v>
      </c>
      <c r="G42">
        <v>656</v>
      </c>
      <c r="H42" s="3">
        <v>0</v>
      </c>
      <c r="I42" s="3">
        <f>VLOOKUP(E42,codex!$A$1:$B$358,2,0)</f>
        <v>0</v>
      </c>
    </row>
    <row r="43" spans="1:9" x14ac:dyDescent="0.25">
      <c r="A43" t="s">
        <v>53</v>
      </c>
      <c r="B43" s="3" t="s">
        <v>1295</v>
      </c>
      <c r="C43" t="s">
        <v>269</v>
      </c>
      <c r="D43" t="s">
        <v>270</v>
      </c>
      <c r="E43" t="str">
        <f t="shared" si="0"/>
        <v>org.jsoup.select.Nodes</v>
      </c>
      <c r="F43" t="s">
        <v>271</v>
      </c>
      <c r="G43">
        <v>643</v>
      </c>
      <c r="H43" s="3">
        <v>0</v>
      </c>
      <c r="I43" s="3">
        <f>VLOOKUP(E43,codex!$A$1:$B$358,2,0)</f>
        <v>0</v>
      </c>
    </row>
    <row r="44" spans="1:9" x14ac:dyDescent="0.25">
      <c r="A44" t="s">
        <v>8</v>
      </c>
      <c r="B44" s="3" t="s">
        <v>1295</v>
      </c>
      <c r="C44" t="s">
        <v>272</v>
      </c>
      <c r="D44" t="s">
        <v>273</v>
      </c>
      <c r="E44" t="str">
        <f t="shared" si="0"/>
        <v>net.bytebuddy.dynamic.loading.ByteArrayClassLoader.PrependingEnumeration</v>
      </c>
      <c r="F44" t="s">
        <v>274</v>
      </c>
      <c r="G44">
        <v>252</v>
      </c>
      <c r="H44" s="3">
        <v>0</v>
      </c>
      <c r="I44" s="3">
        <f>VLOOKUP(E44,codex!$A$1:$B$358,2,0)</f>
        <v>0</v>
      </c>
    </row>
    <row r="45" spans="1:9" x14ac:dyDescent="0.25">
      <c r="A45" t="s">
        <v>34</v>
      </c>
      <c r="B45" s="3" t="s">
        <v>1295</v>
      </c>
      <c r="C45" t="s">
        <v>275</v>
      </c>
      <c r="D45" t="s">
        <v>276</v>
      </c>
      <c r="E45" t="str">
        <f t="shared" si="0"/>
        <v>org.apache.commons.lang3.Functions.FailableBiConsumer</v>
      </c>
      <c r="F45" t="s">
        <v>277</v>
      </c>
      <c r="G45">
        <v>413</v>
      </c>
      <c r="H45" s="3">
        <v>0</v>
      </c>
      <c r="I45" s="3">
        <f>VLOOKUP(E45,codex!$A$1:$B$358,2,0)</f>
        <v>0</v>
      </c>
    </row>
    <row r="46" spans="1:9" x14ac:dyDescent="0.25">
      <c r="A46" t="s">
        <v>14</v>
      </c>
      <c r="B46" s="3" t="s">
        <v>1295</v>
      </c>
      <c r="C46" t="s">
        <v>278</v>
      </c>
      <c r="D46" t="s">
        <v>25</v>
      </c>
      <c r="E46" t="str">
        <f t="shared" si="0"/>
        <v>org.apache.commons.io.output.DeferredFileOutputStream.Builder</v>
      </c>
      <c r="F46" t="s">
        <v>279</v>
      </c>
      <c r="G46">
        <v>428</v>
      </c>
      <c r="H46" s="3">
        <v>0</v>
      </c>
      <c r="I46" s="3">
        <f>VLOOKUP(E46,codex!$A$1:$B$358,2,0)</f>
        <v>0</v>
      </c>
    </row>
    <row r="47" spans="1:9" x14ac:dyDescent="0.25">
      <c r="A47" t="s">
        <v>6</v>
      </c>
      <c r="B47" s="3" t="s">
        <v>1295</v>
      </c>
      <c r="C47" t="s">
        <v>70</v>
      </c>
      <c r="D47" t="s">
        <v>280</v>
      </c>
      <c r="E47" t="str">
        <f t="shared" si="0"/>
        <v>com.github.javaparser.metamodel.RecordPatternExprMetaModel</v>
      </c>
      <c r="F47" t="s">
        <v>281</v>
      </c>
      <c r="G47">
        <v>2232</v>
      </c>
      <c r="H47" s="3">
        <v>0</v>
      </c>
      <c r="I47" s="3">
        <f>VLOOKUP(E47,codex!$A$1:$B$358,2,0)</f>
        <v>0</v>
      </c>
    </row>
    <row r="48" spans="1:9" x14ac:dyDescent="0.25">
      <c r="A48" t="s">
        <v>8</v>
      </c>
      <c r="B48" s="3" t="s">
        <v>1295</v>
      </c>
      <c r="C48" t="s">
        <v>282</v>
      </c>
      <c r="D48" t="s">
        <v>283</v>
      </c>
      <c r="E48" t="str">
        <f t="shared" si="0"/>
        <v>net.bytebuddy.utility.JavaModule.Module</v>
      </c>
      <c r="F48" t="s">
        <v>284</v>
      </c>
      <c r="G48">
        <v>601</v>
      </c>
      <c r="H48" s="3">
        <v>0</v>
      </c>
      <c r="I48" s="3">
        <f>VLOOKUP(E48,codex!$A$1:$B$358,2,0)</f>
        <v>0</v>
      </c>
    </row>
    <row r="49" spans="1:9" x14ac:dyDescent="0.25">
      <c r="A49" t="s">
        <v>14</v>
      </c>
      <c r="B49" s="3" t="s">
        <v>1295</v>
      </c>
      <c r="C49" t="s">
        <v>169</v>
      </c>
      <c r="D49" t="s">
        <v>285</v>
      </c>
      <c r="E49" t="str">
        <f t="shared" si="0"/>
        <v>org.apache.commons.io.function.IOStream</v>
      </c>
      <c r="F49" t="s">
        <v>286</v>
      </c>
      <c r="G49">
        <v>1176</v>
      </c>
      <c r="H49" s="3">
        <v>0</v>
      </c>
      <c r="I49" s="3">
        <f>VLOOKUP(E49,codex!$A$1:$B$358,2,0)</f>
        <v>0</v>
      </c>
    </row>
    <row r="50" spans="1:9" x14ac:dyDescent="0.25">
      <c r="A50" t="s">
        <v>8</v>
      </c>
      <c r="B50" s="3" t="s">
        <v>1295</v>
      </c>
      <c r="C50" t="s">
        <v>287</v>
      </c>
      <c r="D50" t="s">
        <v>288</v>
      </c>
      <c r="E50" t="str">
        <f t="shared" si="0"/>
        <v>net.bytebuddy.implementation.bytecode.StackManipulation.Size</v>
      </c>
      <c r="F50" t="s">
        <v>289</v>
      </c>
      <c r="G50">
        <v>362</v>
      </c>
      <c r="H50" s="3">
        <v>0</v>
      </c>
      <c r="I50" s="3">
        <f>VLOOKUP(E50,codex!$A$1:$B$358,2,0)</f>
        <v>0</v>
      </c>
    </row>
    <row r="51" spans="1:9" x14ac:dyDescent="0.25">
      <c r="A51" t="s">
        <v>14</v>
      </c>
      <c r="B51" s="3" t="s">
        <v>1295</v>
      </c>
      <c r="C51" t="s">
        <v>24</v>
      </c>
      <c r="D51" t="s">
        <v>290</v>
      </c>
      <c r="E51" t="str">
        <f t="shared" si="0"/>
        <v>org.apache.commons.io.input.CharSequenceInputStream</v>
      </c>
      <c r="F51" t="s">
        <v>291</v>
      </c>
      <c r="G51">
        <v>640</v>
      </c>
      <c r="H51" s="3">
        <v>0</v>
      </c>
      <c r="I51" s="3">
        <f>VLOOKUP(E51,codex!$A$1:$B$358,2,0)</f>
        <v>0</v>
      </c>
    </row>
    <row r="52" spans="1:9" x14ac:dyDescent="0.25">
      <c r="A52" t="s">
        <v>8</v>
      </c>
      <c r="B52" s="3" t="s">
        <v>1295</v>
      </c>
      <c r="C52" t="s">
        <v>161</v>
      </c>
      <c r="D52" t="s">
        <v>292</v>
      </c>
      <c r="E52" t="str">
        <f t="shared" si="0"/>
        <v>net.bytebuddy.build.gradle.android.LegacyByteBuddyLocalClassesEnhancerTask</v>
      </c>
      <c r="F52" t="s">
        <v>293</v>
      </c>
      <c r="G52">
        <v>1690</v>
      </c>
      <c r="H52" s="3">
        <v>0</v>
      </c>
      <c r="I52" s="3">
        <f>VLOOKUP(E52,codex!$A$1:$B$358,2,0)</f>
        <v>0</v>
      </c>
    </row>
    <row r="53" spans="1:9" x14ac:dyDescent="0.25">
      <c r="A53" t="s">
        <v>28</v>
      </c>
      <c r="B53" s="3" t="s">
        <v>1295</v>
      </c>
      <c r="C53" t="s">
        <v>120</v>
      </c>
      <c r="D53" t="s">
        <v>146</v>
      </c>
      <c r="E53" t="str">
        <f t="shared" si="0"/>
        <v>com.google.common.jimfs.Handler</v>
      </c>
      <c r="F53" t="s">
        <v>294</v>
      </c>
      <c r="G53">
        <v>246</v>
      </c>
      <c r="H53" s="3">
        <v>0</v>
      </c>
      <c r="I53" s="3">
        <f>VLOOKUP(E53,codex!$A$1:$B$358,2,0)</f>
        <v>0</v>
      </c>
    </row>
    <row r="54" spans="1:9" x14ac:dyDescent="0.25">
      <c r="A54" t="s">
        <v>57</v>
      </c>
      <c r="B54" s="3" t="s">
        <v>1295</v>
      </c>
      <c r="C54" t="s">
        <v>295</v>
      </c>
      <c r="D54" t="s">
        <v>136</v>
      </c>
      <c r="E54" t="str">
        <f t="shared" si="0"/>
        <v>com.google.googlejavaformat.java.JavaInputAstVisitor.Kind</v>
      </c>
      <c r="F54" t="s">
        <v>296</v>
      </c>
      <c r="G54">
        <v>570</v>
      </c>
      <c r="H54" s="3">
        <v>0</v>
      </c>
      <c r="I54" s="3">
        <f>VLOOKUP(E54,codex!$A$1:$B$358,2,0)</f>
        <v>0</v>
      </c>
    </row>
    <row r="55" spans="1:9" x14ac:dyDescent="0.25">
      <c r="A55" t="s">
        <v>8</v>
      </c>
      <c r="B55" s="3" t="s">
        <v>1295</v>
      </c>
      <c r="C55" t="s">
        <v>297</v>
      </c>
      <c r="D55" t="s">
        <v>43</v>
      </c>
      <c r="E55" t="str">
        <f t="shared" si="0"/>
        <v>net.bytebuddy.benchmark.jmh.generated.ClassByExtensionBenchmark.benchmarkByteBuddyWithAccessor.jmhTest</v>
      </c>
      <c r="F55" t="s">
        <v>298</v>
      </c>
      <c r="G55">
        <v>4453</v>
      </c>
      <c r="H55" s="3">
        <v>0</v>
      </c>
      <c r="I55" s="3">
        <v>0</v>
      </c>
    </row>
    <row r="56" spans="1:9" x14ac:dyDescent="0.25">
      <c r="A56" t="s">
        <v>8</v>
      </c>
      <c r="B56" s="3" t="s">
        <v>1295</v>
      </c>
      <c r="C56" t="s">
        <v>39</v>
      </c>
      <c r="D56" t="s">
        <v>299</v>
      </c>
      <c r="E56" t="str">
        <f t="shared" si="0"/>
        <v>net.bytebuddy.asm.AsmVisitorWrapper.Entry</v>
      </c>
      <c r="F56" t="s">
        <v>300</v>
      </c>
      <c r="G56">
        <v>866</v>
      </c>
      <c r="H56" s="3">
        <v>0</v>
      </c>
      <c r="I56" s="3">
        <f>VLOOKUP(E56,codex!$A$1:$B$358,2,0)</f>
        <v>0</v>
      </c>
    </row>
    <row r="57" spans="1:9" x14ac:dyDescent="0.25">
      <c r="A57" t="s">
        <v>8</v>
      </c>
      <c r="B57" s="3" t="s">
        <v>1295</v>
      </c>
      <c r="C57" t="s">
        <v>95</v>
      </c>
      <c r="D57" t="s">
        <v>301</v>
      </c>
      <c r="E57" t="str">
        <f t="shared" si="0"/>
        <v>net.bytebuddy.dynamic.scaffold.MethodGraph.ForJVMMethod</v>
      </c>
      <c r="F57" t="s">
        <v>302</v>
      </c>
      <c r="G57">
        <v>877</v>
      </c>
      <c r="H57" s="3">
        <v>0</v>
      </c>
      <c r="I57" s="3">
        <f>VLOOKUP(E57,codex!$A$1:$B$358,2,0)</f>
        <v>0</v>
      </c>
    </row>
    <row r="58" spans="1:9" x14ac:dyDescent="0.25">
      <c r="A58" t="s">
        <v>34</v>
      </c>
      <c r="B58" s="3" t="s">
        <v>1295</v>
      </c>
      <c r="C58" t="s">
        <v>110</v>
      </c>
      <c r="D58" t="s">
        <v>303</v>
      </c>
      <c r="E58" t="str">
        <f t="shared" si="0"/>
        <v>org.apache.commons.lang3.time.FastDateParser.StrategyParser</v>
      </c>
      <c r="F58" t="s">
        <v>304</v>
      </c>
      <c r="G58">
        <v>370</v>
      </c>
      <c r="H58" s="3">
        <v>0</v>
      </c>
      <c r="I58" s="3">
        <f>VLOOKUP(E58,codex!$A$1:$B$358,2,0)</f>
        <v>0</v>
      </c>
    </row>
    <row r="59" spans="1:9" x14ac:dyDescent="0.25">
      <c r="A59" t="s">
        <v>8</v>
      </c>
      <c r="B59" s="3" t="s">
        <v>1295</v>
      </c>
      <c r="C59" t="s">
        <v>305</v>
      </c>
      <c r="D59" t="s">
        <v>306</v>
      </c>
      <c r="E59" t="str">
        <f t="shared" si="0"/>
        <v>net.bytebuddy.asm.TypeReferenceAdjustment.TypeReferenceMethodVisitor</v>
      </c>
      <c r="F59" t="s">
        <v>307</v>
      </c>
      <c r="G59">
        <v>325</v>
      </c>
      <c r="H59" s="3">
        <v>0</v>
      </c>
      <c r="I59" s="3">
        <f>VLOOKUP(E59,codex!$A$1:$B$358,2,0)</f>
        <v>0</v>
      </c>
    </row>
    <row r="60" spans="1:9" x14ac:dyDescent="0.25">
      <c r="A60" t="s">
        <v>8</v>
      </c>
      <c r="B60" s="3" t="s">
        <v>1295</v>
      </c>
      <c r="C60" t="s">
        <v>123</v>
      </c>
      <c r="D60" t="s">
        <v>155</v>
      </c>
      <c r="E60" t="str">
        <f t="shared" si="0"/>
        <v>net.bytebuddy.matcher.CollectionErasureMatcher</v>
      </c>
      <c r="F60" t="s">
        <v>308</v>
      </c>
      <c r="G60">
        <v>324</v>
      </c>
      <c r="H60" s="3">
        <v>0</v>
      </c>
      <c r="I60" s="3">
        <f>VLOOKUP(E60,codex!$A$1:$B$358,2,0)</f>
        <v>0</v>
      </c>
    </row>
    <row r="61" spans="1:9" x14ac:dyDescent="0.25">
      <c r="A61" t="s">
        <v>6</v>
      </c>
      <c r="B61" s="3" t="s">
        <v>1295</v>
      </c>
      <c r="C61" t="s">
        <v>70</v>
      </c>
      <c r="D61" t="s">
        <v>309</v>
      </c>
      <c r="E61" t="str">
        <f t="shared" si="0"/>
        <v>com.github.javaparser.metamodel.CompilationUnitMetaModel</v>
      </c>
      <c r="F61" t="s">
        <v>310</v>
      </c>
      <c r="G61">
        <v>2401</v>
      </c>
      <c r="H61" s="3">
        <v>0</v>
      </c>
      <c r="I61" s="3">
        <f>VLOOKUP(E61,codex!$A$1:$B$358,2,0)</f>
        <v>0</v>
      </c>
    </row>
    <row r="62" spans="1:9" x14ac:dyDescent="0.25">
      <c r="A62" t="s">
        <v>28</v>
      </c>
      <c r="B62" s="3" t="s">
        <v>1295</v>
      </c>
      <c r="C62" t="s">
        <v>148</v>
      </c>
      <c r="D62" t="s">
        <v>311</v>
      </c>
      <c r="E62" t="str">
        <f t="shared" si="0"/>
        <v>com.google.common.jimfs.FileFactory.DirectorySupplier</v>
      </c>
      <c r="F62" t="s">
        <v>312</v>
      </c>
      <c r="G62">
        <v>249</v>
      </c>
      <c r="H62" s="3">
        <v>0</v>
      </c>
      <c r="I62" s="3">
        <f>VLOOKUP(E62,codex!$A$1:$B$358,2,0)</f>
        <v>0</v>
      </c>
    </row>
    <row r="63" spans="1:9" x14ac:dyDescent="0.25">
      <c r="A63" t="s">
        <v>8</v>
      </c>
      <c r="B63" s="3" t="s">
        <v>1295</v>
      </c>
      <c r="C63" t="s">
        <v>96</v>
      </c>
      <c r="D63" t="s">
        <v>313</v>
      </c>
      <c r="E63" t="str">
        <f t="shared" si="0"/>
        <v>net.bytebuddy.build.gradle.android.ByteBuddyAndroidPlugin.VariantAction</v>
      </c>
      <c r="F63" t="s">
        <v>314</v>
      </c>
      <c r="G63">
        <v>442</v>
      </c>
      <c r="H63" s="3">
        <v>0</v>
      </c>
      <c r="I63" s="3">
        <f>VLOOKUP(E63,codex!$A$1:$B$358,2,0)</f>
        <v>0</v>
      </c>
    </row>
    <row r="64" spans="1:9" x14ac:dyDescent="0.25">
      <c r="A64" t="s">
        <v>8</v>
      </c>
      <c r="B64" s="3" t="s">
        <v>1295</v>
      </c>
      <c r="C64" t="s">
        <v>203</v>
      </c>
      <c r="D64" t="s">
        <v>47</v>
      </c>
      <c r="E64" t="str">
        <f t="shared" si="0"/>
        <v>net.bytebuddy.utility.JavaConstant.Dispatcher</v>
      </c>
      <c r="F64" t="s">
        <v>315</v>
      </c>
      <c r="G64">
        <v>809</v>
      </c>
      <c r="H64" s="3">
        <v>0</v>
      </c>
      <c r="I64" s="3">
        <f>VLOOKUP(E64,codex!$A$1:$B$358,2,0)</f>
        <v>0</v>
      </c>
    </row>
    <row r="65" spans="1:9" x14ac:dyDescent="0.25">
      <c r="A65" t="s">
        <v>8</v>
      </c>
      <c r="B65" s="3" t="s">
        <v>1295</v>
      </c>
      <c r="C65" t="s">
        <v>91</v>
      </c>
      <c r="D65" t="s">
        <v>316</v>
      </c>
      <c r="E65" t="str">
        <f t="shared" si="0"/>
        <v>net.bytebuddy.description.type.TypeDescription.RetainedMethodTypeVariable</v>
      </c>
      <c r="F65" t="s">
        <v>317</v>
      </c>
      <c r="G65">
        <v>421</v>
      </c>
      <c r="H65" s="3">
        <v>0</v>
      </c>
      <c r="I65" s="3">
        <f>VLOOKUP(E65,codex!$A$1:$B$358,2,0)</f>
        <v>0</v>
      </c>
    </row>
    <row r="66" spans="1:9" x14ac:dyDescent="0.25">
      <c r="A66" t="s">
        <v>34</v>
      </c>
      <c r="B66" s="3" t="s">
        <v>1295</v>
      </c>
      <c r="C66" t="s">
        <v>154</v>
      </c>
      <c r="D66" t="s">
        <v>318</v>
      </c>
      <c r="E66" t="str">
        <f t="shared" si="0"/>
        <v>org.apache.commons.lang3.function.FailableLongUnaryOperator</v>
      </c>
      <c r="F66" t="s">
        <v>319</v>
      </c>
      <c r="G66">
        <v>250</v>
      </c>
      <c r="H66" s="3">
        <v>0</v>
      </c>
      <c r="I66" s="3">
        <f>VLOOKUP(E66,codex!$A$1:$B$358,2,0)</f>
        <v>0</v>
      </c>
    </row>
    <row r="67" spans="1:9" x14ac:dyDescent="0.25">
      <c r="A67" t="s">
        <v>57</v>
      </c>
      <c r="B67" s="3" t="s">
        <v>1295</v>
      </c>
      <c r="C67" t="s">
        <v>320</v>
      </c>
      <c r="D67" t="s">
        <v>321</v>
      </c>
      <c r="E67" t="str">
        <f t="shared" ref="E67:E130" si="1">C67&amp;"."&amp;D67</f>
        <v>com.google.googlejavaformat.Indent</v>
      </c>
      <c r="F67" t="s">
        <v>322</v>
      </c>
      <c r="G67">
        <v>1150</v>
      </c>
      <c r="H67" s="3">
        <v>0</v>
      </c>
      <c r="I67" s="3">
        <f>VLOOKUP(E67,codex!$A$1:$B$358,2,0)</f>
        <v>0</v>
      </c>
    </row>
    <row r="68" spans="1:9" x14ac:dyDescent="0.25">
      <c r="A68" t="s">
        <v>57</v>
      </c>
      <c r="B68" s="3" t="s">
        <v>1295</v>
      </c>
      <c r="C68" t="s">
        <v>323</v>
      </c>
      <c r="D68" t="s">
        <v>324</v>
      </c>
      <c r="E68" t="str">
        <f t="shared" si="1"/>
        <v>com.google.googlejavaformat.java.javadoc.JavadocWriter</v>
      </c>
      <c r="F68" t="s">
        <v>325</v>
      </c>
      <c r="G68">
        <v>623</v>
      </c>
      <c r="H68" s="3">
        <v>0</v>
      </c>
      <c r="I68" s="3">
        <f>VLOOKUP(E68,codex!$A$1:$B$358,2,0)</f>
        <v>0</v>
      </c>
    </row>
    <row r="69" spans="1:9" x14ac:dyDescent="0.25">
      <c r="A69" t="s">
        <v>6</v>
      </c>
      <c r="B69" s="3" t="s">
        <v>1295</v>
      </c>
      <c r="C69" t="s">
        <v>326</v>
      </c>
      <c r="D69" t="s">
        <v>327</v>
      </c>
      <c r="E69" t="str">
        <f t="shared" si="1"/>
        <v>com.github.javaparser.symbolsolver.reflectionmodel.ReflectionInterfaceDeclaration</v>
      </c>
      <c r="F69" t="s">
        <v>328</v>
      </c>
      <c r="G69">
        <v>2512</v>
      </c>
      <c r="H69" s="3">
        <v>0</v>
      </c>
      <c r="I69" s="3">
        <f>VLOOKUP(E69,codex!$A$1:$B$358,2,0)</f>
        <v>1</v>
      </c>
    </row>
    <row r="70" spans="1:9" x14ac:dyDescent="0.25">
      <c r="A70" t="s">
        <v>6</v>
      </c>
      <c r="B70" s="3" t="s">
        <v>1295</v>
      </c>
      <c r="C70" t="s">
        <v>329</v>
      </c>
      <c r="D70" t="s">
        <v>330</v>
      </c>
      <c r="E70" t="str">
        <f t="shared" si="1"/>
        <v>com.example.ConstructorParameterTest</v>
      </c>
      <c r="F70" t="s">
        <v>331</v>
      </c>
      <c r="G70">
        <v>290</v>
      </c>
      <c r="H70" s="3">
        <v>0</v>
      </c>
      <c r="I70" s="3">
        <f>VLOOKUP(E70,codex!$A$1:$B$358,2,0)</f>
        <v>0</v>
      </c>
    </row>
    <row r="71" spans="1:9" x14ac:dyDescent="0.25">
      <c r="A71" t="s">
        <v>8</v>
      </c>
      <c r="B71" s="3" t="s">
        <v>1295</v>
      </c>
      <c r="C71" t="s">
        <v>287</v>
      </c>
      <c r="D71" t="s">
        <v>332</v>
      </c>
      <c r="E71" t="str">
        <f t="shared" si="1"/>
        <v>net.bytebuddy.implementation.bytecode.StackManipulation.Trivial</v>
      </c>
      <c r="F71" t="s">
        <v>333</v>
      </c>
      <c r="G71">
        <v>725</v>
      </c>
      <c r="H71" s="3">
        <v>0</v>
      </c>
      <c r="I71" s="3">
        <f>VLOOKUP(E71,codex!$A$1:$B$358,2,0)</f>
        <v>0</v>
      </c>
    </row>
    <row r="72" spans="1:9" x14ac:dyDescent="0.25">
      <c r="A72" t="s">
        <v>8</v>
      </c>
      <c r="B72" s="3" t="s">
        <v>1295</v>
      </c>
      <c r="C72" t="s">
        <v>334</v>
      </c>
      <c r="D72" t="s">
        <v>335</v>
      </c>
      <c r="E72" t="str">
        <f t="shared" si="1"/>
        <v>net.bytebuddy.dynamic.loading.ClassReloadingStrategy.Disabled</v>
      </c>
      <c r="F72" t="s">
        <v>336</v>
      </c>
      <c r="G72">
        <v>428</v>
      </c>
      <c r="H72" s="3">
        <v>0</v>
      </c>
      <c r="I72" s="3">
        <f>VLOOKUP(E72,codex!$A$1:$B$358,2,0)</f>
        <v>0</v>
      </c>
    </row>
    <row r="73" spans="1:9" x14ac:dyDescent="0.25">
      <c r="A73" t="s">
        <v>18</v>
      </c>
      <c r="B73" s="3" t="s">
        <v>1295</v>
      </c>
      <c r="C73" t="s">
        <v>26</v>
      </c>
      <c r="D73" t="s">
        <v>337</v>
      </c>
      <c r="E73" t="str">
        <f t="shared" si="1"/>
        <v>com.google.zxing.oned.MultiFormatUPCEANReader</v>
      </c>
      <c r="F73" t="s">
        <v>338</v>
      </c>
      <c r="G73">
        <v>632</v>
      </c>
      <c r="H73" s="3">
        <v>0</v>
      </c>
      <c r="I73" s="3">
        <f>VLOOKUP(E73,codex!$A$1:$B$358,2,0)</f>
        <v>0</v>
      </c>
    </row>
    <row r="74" spans="1:9" x14ac:dyDescent="0.25">
      <c r="A74" t="s">
        <v>6</v>
      </c>
      <c r="B74" s="3" t="s">
        <v>1295</v>
      </c>
      <c r="C74" t="s">
        <v>50</v>
      </c>
      <c r="D74" t="s">
        <v>339</v>
      </c>
      <c r="E74" t="str">
        <f t="shared" si="1"/>
        <v>com.github.javaparser.utils.SourceZip</v>
      </c>
      <c r="F74" t="s">
        <v>340</v>
      </c>
      <c r="G74">
        <v>762</v>
      </c>
      <c r="H74" s="3">
        <v>0</v>
      </c>
      <c r="I74" s="3">
        <f>VLOOKUP(E74,codex!$A$1:$B$358,2,0)</f>
        <v>0</v>
      </c>
    </row>
    <row r="75" spans="1:9" x14ac:dyDescent="0.25">
      <c r="A75" t="s">
        <v>31</v>
      </c>
      <c r="B75" s="3" t="s">
        <v>1295</v>
      </c>
      <c r="C75" t="s">
        <v>78</v>
      </c>
      <c r="D75" t="s">
        <v>341</v>
      </c>
      <c r="E75" t="str">
        <f t="shared" si="1"/>
        <v>com.google.gson.JsonParser</v>
      </c>
      <c r="F75" t="s">
        <v>342</v>
      </c>
      <c r="G75">
        <v>765</v>
      </c>
      <c r="H75" s="3">
        <v>0</v>
      </c>
      <c r="I75" s="3">
        <f>VLOOKUP(E75,codex!$A$1:$B$358,2,0)</f>
        <v>0</v>
      </c>
    </row>
    <row r="76" spans="1:9" x14ac:dyDescent="0.25">
      <c r="A76" t="s">
        <v>6</v>
      </c>
      <c r="B76" s="3" t="s">
        <v>1295</v>
      </c>
      <c r="C76" t="s">
        <v>70</v>
      </c>
      <c r="D76" t="s">
        <v>81</v>
      </c>
      <c r="E76" t="str">
        <f t="shared" si="1"/>
        <v>com.github.javaparser.metamodel.JavadocCommentMetaModel</v>
      </c>
      <c r="F76" t="s">
        <v>343</v>
      </c>
      <c r="G76">
        <v>2124</v>
      </c>
      <c r="H76" s="3">
        <v>0</v>
      </c>
      <c r="I76" s="3">
        <f>VLOOKUP(E76,codex!$A$1:$B$358,2,0)</f>
        <v>0</v>
      </c>
    </row>
    <row r="77" spans="1:9" x14ac:dyDescent="0.25">
      <c r="A77" t="s">
        <v>18</v>
      </c>
      <c r="B77" s="3" t="s">
        <v>1295</v>
      </c>
      <c r="C77" t="s">
        <v>344</v>
      </c>
      <c r="D77" t="s">
        <v>345</v>
      </c>
      <c r="E77" t="str">
        <f t="shared" si="1"/>
        <v>com.google.zxing.client.android.camera.AutoFocusManager</v>
      </c>
      <c r="F77" t="s">
        <v>346</v>
      </c>
      <c r="G77">
        <v>444</v>
      </c>
      <c r="H77" s="3">
        <v>0</v>
      </c>
      <c r="I77" s="3">
        <f>VLOOKUP(E77,codex!$A$1:$B$358,2,0)</f>
        <v>0</v>
      </c>
    </row>
    <row r="78" spans="1:9" x14ac:dyDescent="0.25">
      <c r="A78" t="s">
        <v>6</v>
      </c>
      <c r="B78" s="3" t="s">
        <v>1295</v>
      </c>
      <c r="C78" t="s">
        <v>347</v>
      </c>
      <c r="D78" t="s">
        <v>348</v>
      </c>
      <c r="E78" t="str">
        <f t="shared" si="1"/>
        <v>com.github.javaparser.ast.observer.AstObserverAdapter</v>
      </c>
      <c r="F78" t="s">
        <v>349</v>
      </c>
      <c r="G78">
        <v>771</v>
      </c>
      <c r="H78" s="3">
        <v>0</v>
      </c>
      <c r="I78" s="3">
        <f>VLOOKUP(E78,codex!$A$1:$B$358,2,0)</f>
        <v>0</v>
      </c>
    </row>
    <row r="79" spans="1:9" x14ac:dyDescent="0.25">
      <c r="A79" t="s">
        <v>20</v>
      </c>
      <c r="B79" s="3" t="s">
        <v>1295</v>
      </c>
      <c r="C79" t="s">
        <v>350</v>
      </c>
      <c r="D79" t="s">
        <v>351</v>
      </c>
      <c r="E79" t="str">
        <f t="shared" si="1"/>
        <v>org.adoptopenjdk.jitwatch.report.Report</v>
      </c>
      <c r="F79" t="s">
        <v>352</v>
      </c>
      <c r="G79">
        <v>2074</v>
      </c>
      <c r="H79" s="3">
        <v>0</v>
      </c>
      <c r="I79" s="3">
        <f>VLOOKUP(E79,codex!$A$1:$B$358,2,0)</f>
        <v>0</v>
      </c>
    </row>
    <row r="80" spans="1:9" x14ac:dyDescent="0.25">
      <c r="A80" t="s">
        <v>20</v>
      </c>
      <c r="B80" s="3" t="s">
        <v>1295</v>
      </c>
      <c r="C80" t="s">
        <v>353</v>
      </c>
      <c r="D80" t="s">
        <v>354</v>
      </c>
      <c r="E80" t="str">
        <f t="shared" si="1"/>
        <v>org.adoptopenjdk.jitwatch.histo.AttributeNameHistoWalker</v>
      </c>
      <c r="F80" t="s">
        <v>355</v>
      </c>
      <c r="G80">
        <v>543</v>
      </c>
      <c r="H80" s="3">
        <v>0</v>
      </c>
      <c r="I80" s="3">
        <f>VLOOKUP(E80,codex!$A$1:$B$358,2,0)</f>
        <v>0</v>
      </c>
    </row>
    <row r="81" spans="1:9" x14ac:dyDescent="0.25">
      <c r="A81" t="s">
        <v>53</v>
      </c>
      <c r="B81" s="3" t="s">
        <v>1295</v>
      </c>
      <c r="C81" t="s">
        <v>356</v>
      </c>
      <c r="D81" t="s">
        <v>357</v>
      </c>
      <c r="E81" t="str">
        <f t="shared" si="1"/>
        <v>org.jsoup.safety.Safelist.Protocol</v>
      </c>
      <c r="F81" t="s">
        <v>358</v>
      </c>
      <c r="G81">
        <v>360</v>
      </c>
      <c r="H81" s="3">
        <v>0</v>
      </c>
      <c r="I81" s="3">
        <f>VLOOKUP(E81,codex!$A$1:$B$358,2,0)</f>
        <v>0</v>
      </c>
    </row>
    <row r="82" spans="1:9" x14ac:dyDescent="0.25">
      <c r="A82" t="s">
        <v>8</v>
      </c>
      <c r="B82" s="3" t="s">
        <v>1295</v>
      </c>
      <c r="C82" t="s">
        <v>48</v>
      </c>
      <c r="D82" t="s">
        <v>359</v>
      </c>
      <c r="E82" t="str">
        <f t="shared" si="1"/>
        <v>net.bytebuddy.implementation.bytecode.member.FieldAccess</v>
      </c>
      <c r="F82" t="s">
        <v>360</v>
      </c>
      <c r="G82">
        <v>2293</v>
      </c>
      <c r="H82" s="3">
        <v>0</v>
      </c>
      <c r="I82" s="3">
        <f>VLOOKUP(E82,codex!$A$1:$B$358,2,0)</f>
        <v>1</v>
      </c>
    </row>
    <row r="83" spans="1:9" x14ac:dyDescent="0.25">
      <c r="A83" t="s">
        <v>8</v>
      </c>
      <c r="B83" s="3" t="s">
        <v>1295</v>
      </c>
      <c r="C83" t="s">
        <v>23</v>
      </c>
      <c r="D83" t="s">
        <v>127</v>
      </c>
      <c r="E83" t="str">
        <f t="shared" si="1"/>
        <v>net.bytebuddy.implementation.MethodCall.ForInstrumentedMethod</v>
      </c>
      <c r="F83" t="s">
        <v>361</v>
      </c>
      <c r="G83">
        <v>1362</v>
      </c>
      <c r="H83" s="3">
        <v>0</v>
      </c>
      <c r="I83" s="3">
        <f>VLOOKUP(E83,codex!$A$1:$B$358,2,0)</f>
        <v>0</v>
      </c>
    </row>
    <row r="84" spans="1:9" x14ac:dyDescent="0.25">
      <c r="A84" t="s">
        <v>34</v>
      </c>
      <c r="B84" s="3" t="s">
        <v>1295</v>
      </c>
      <c r="C84" t="s">
        <v>35</v>
      </c>
      <c r="D84" t="s">
        <v>36</v>
      </c>
      <c r="E84" t="str">
        <f t="shared" si="1"/>
        <v>org.apache.commons.lang3.compare.ComparableUtils</v>
      </c>
      <c r="F84" t="s">
        <v>362</v>
      </c>
      <c r="G84">
        <v>300</v>
      </c>
      <c r="H84" s="3">
        <v>0</v>
      </c>
      <c r="I84" s="3">
        <f>VLOOKUP(E84,codex!$A$1:$B$358,2,0)</f>
        <v>0</v>
      </c>
    </row>
    <row r="85" spans="1:9" x14ac:dyDescent="0.25">
      <c r="A85" t="s">
        <v>18</v>
      </c>
      <c r="B85" s="3" t="s">
        <v>1295</v>
      </c>
      <c r="C85" t="s">
        <v>363</v>
      </c>
      <c r="D85" t="s">
        <v>364</v>
      </c>
      <c r="E85" t="str">
        <f t="shared" si="1"/>
        <v>com.google.zxing.pdf417.detector.Detector</v>
      </c>
      <c r="F85" t="s">
        <v>365</v>
      </c>
      <c r="G85">
        <v>674</v>
      </c>
      <c r="H85" s="3">
        <v>0</v>
      </c>
      <c r="I85" s="3">
        <f>VLOOKUP(E85,codex!$A$1:$B$358,2,0)</f>
        <v>0</v>
      </c>
    </row>
    <row r="86" spans="1:9" x14ac:dyDescent="0.25">
      <c r="A86" t="s">
        <v>6</v>
      </c>
      <c r="B86" s="3" t="s">
        <v>1295</v>
      </c>
      <c r="C86" t="s">
        <v>70</v>
      </c>
      <c r="D86" t="s">
        <v>102</v>
      </c>
      <c r="E86" t="str">
        <f t="shared" si="1"/>
        <v>com.github.javaparser.metamodel.TypeParameterMetaModel</v>
      </c>
      <c r="F86" t="s">
        <v>366</v>
      </c>
      <c r="G86">
        <v>2267</v>
      </c>
      <c r="H86" s="3">
        <v>0</v>
      </c>
      <c r="I86" s="3">
        <f>VLOOKUP(E86,codex!$A$1:$B$358,2,0)</f>
        <v>0</v>
      </c>
    </row>
    <row r="87" spans="1:9" x14ac:dyDescent="0.25">
      <c r="A87" t="s">
        <v>8</v>
      </c>
      <c r="B87" s="3" t="s">
        <v>1295</v>
      </c>
      <c r="C87" t="s">
        <v>367</v>
      </c>
      <c r="D87" t="s">
        <v>368</v>
      </c>
      <c r="E87" t="str">
        <f t="shared" si="1"/>
        <v>net.bytebuddy.build.gradle.android.ByteBuddyAndroidService.Parameters</v>
      </c>
      <c r="F87" t="s">
        <v>369</v>
      </c>
      <c r="G87">
        <v>250</v>
      </c>
      <c r="H87" s="3">
        <v>0</v>
      </c>
      <c r="I87" s="3">
        <f>VLOOKUP(E87,codex!$A$1:$B$358,2,0)</f>
        <v>0</v>
      </c>
    </row>
    <row r="88" spans="1:9" x14ac:dyDescent="0.25">
      <c r="A88" t="s">
        <v>34</v>
      </c>
      <c r="B88" s="3" t="s">
        <v>1295</v>
      </c>
      <c r="C88" t="s">
        <v>370</v>
      </c>
      <c r="D88" t="s">
        <v>371</v>
      </c>
      <c r="E88" t="str">
        <f t="shared" si="1"/>
        <v>org.apache.commons.lang3.concurrent.locks.LockingVisitors</v>
      </c>
      <c r="F88" t="s">
        <v>372</v>
      </c>
      <c r="G88">
        <v>416</v>
      </c>
      <c r="H88" s="3">
        <v>0</v>
      </c>
      <c r="I88" s="3">
        <f>VLOOKUP(E88,codex!$A$1:$B$358,2,0)</f>
        <v>0</v>
      </c>
    </row>
    <row r="89" spans="1:9" x14ac:dyDescent="0.25">
      <c r="A89" t="s">
        <v>53</v>
      </c>
      <c r="B89" s="3" t="s">
        <v>1295</v>
      </c>
      <c r="C89" t="s">
        <v>90</v>
      </c>
      <c r="D89" t="s">
        <v>373</v>
      </c>
      <c r="E89" t="str">
        <f t="shared" si="1"/>
        <v>org.jsoup.helper.ValidationException</v>
      </c>
      <c r="F89" t="s">
        <v>374</v>
      </c>
      <c r="G89">
        <v>244</v>
      </c>
      <c r="H89" s="3">
        <v>0</v>
      </c>
      <c r="I89" s="3">
        <f>VLOOKUP(E89,codex!$A$1:$B$358,2,0)</f>
        <v>0</v>
      </c>
    </row>
    <row r="90" spans="1:9" x14ac:dyDescent="0.25">
      <c r="A90" t="s">
        <v>20</v>
      </c>
      <c r="B90" s="3" t="s">
        <v>1295</v>
      </c>
      <c r="C90" t="s">
        <v>375</v>
      </c>
      <c r="D90" t="s">
        <v>376</v>
      </c>
      <c r="E90" t="str">
        <f t="shared" si="1"/>
        <v>org.adoptopenjdk.jitwatch.ui.compilechain.CompileChainStage</v>
      </c>
      <c r="F90" t="s">
        <v>377</v>
      </c>
      <c r="G90">
        <v>3042</v>
      </c>
      <c r="H90" s="3">
        <v>0</v>
      </c>
      <c r="I90" s="3">
        <f>VLOOKUP(E90,codex!$A$1:$B$358,2,0)</f>
        <v>0</v>
      </c>
    </row>
    <row r="91" spans="1:9" x14ac:dyDescent="0.25">
      <c r="A91" t="s">
        <v>6</v>
      </c>
      <c r="B91" s="3" t="s">
        <v>1295</v>
      </c>
      <c r="C91" t="s">
        <v>378</v>
      </c>
      <c r="D91" t="s">
        <v>379</v>
      </c>
      <c r="E91" t="str">
        <f t="shared" si="1"/>
        <v>com.github.javaparser.generator.core.visitor.EqualsVisitorGenerator</v>
      </c>
      <c r="F91" t="s">
        <v>380</v>
      </c>
      <c r="G91">
        <v>1247</v>
      </c>
      <c r="H91" s="3">
        <v>0</v>
      </c>
      <c r="I91" s="3">
        <f>VLOOKUP(E91,codex!$A$1:$B$358,2,0)</f>
        <v>0</v>
      </c>
    </row>
    <row r="92" spans="1:9" x14ac:dyDescent="0.25">
      <c r="A92" t="s">
        <v>34</v>
      </c>
      <c r="B92" s="3" t="s">
        <v>1295</v>
      </c>
      <c r="C92" t="s">
        <v>381</v>
      </c>
      <c r="D92" t="s">
        <v>382</v>
      </c>
      <c r="E92" t="str">
        <f t="shared" si="1"/>
        <v>org.apache.commons.lang3.event.EventUtils.EventBindingInvocationHandler</v>
      </c>
      <c r="F92" t="s">
        <v>383</v>
      </c>
      <c r="G92">
        <v>299</v>
      </c>
      <c r="H92" s="3">
        <v>0</v>
      </c>
      <c r="I92" s="3">
        <f>VLOOKUP(E92,codex!$A$1:$B$358,2,0)</f>
        <v>0</v>
      </c>
    </row>
    <row r="93" spans="1:9" x14ac:dyDescent="0.25">
      <c r="A93" t="s">
        <v>8</v>
      </c>
      <c r="B93" s="3" t="s">
        <v>1295</v>
      </c>
      <c r="C93" t="s">
        <v>123</v>
      </c>
      <c r="D93" t="s">
        <v>384</v>
      </c>
      <c r="E93" t="str">
        <f t="shared" si="1"/>
        <v>net.bytebuddy.matcher.HasSuperTypeMatcher</v>
      </c>
      <c r="F93" t="s">
        <v>385</v>
      </c>
      <c r="G93">
        <v>1196</v>
      </c>
      <c r="H93" s="3">
        <v>0</v>
      </c>
      <c r="I93" s="3">
        <f>VLOOKUP(E93,codex!$A$1:$B$358,2,0)</f>
        <v>0</v>
      </c>
    </row>
    <row r="94" spans="1:9" x14ac:dyDescent="0.25">
      <c r="A94" t="s">
        <v>34</v>
      </c>
      <c r="B94" s="3" t="s">
        <v>1295</v>
      </c>
      <c r="C94" t="s">
        <v>156</v>
      </c>
      <c r="D94" t="s">
        <v>386</v>
      </c>
      <c r="E94" t="str">
        <f t="shared" si="1"/>
        <v>org.apache.commons.lang3.ThreadUtils.ThreadPredicate</v>
      </c>
      <c r="F94" t="s">
        <v>387</v>
      </c>
      <c r="G94">
        <v>331</v>
      </c>
      <c r="H94" s="3">
        <v>0</v>
      </c>
      <c r="I94" s="3">
        <f>VLOOKUP(E94,codex!$A$1:$B$358,2,0)</f>
        <v>0</v>
      </c>
    </row>
    <row r="95" spans="1:9" x14ac:dyDescent="0.25">
      <c r="A95" t="s">
        <v>53</v>
      </c>
      <c r="B95" s="3" t="s">
        <v>1295</v>
      </c>
      <c r="C95" t="s">
        <v>356</v>
      </c>
      <c r="D95" t="s">
        <v>388</v>
      </c>
      <c r="E95" t="str">
        <f t="shared" si="1"/>
        <v>org.jsoup.safety.Safelist.TypedValue</v>
      </c>
      <c r="F95" t="s">
        <v>389</v>
      </c>
      <c r="G95">
        <v>247</v>
      </c>
      <c r="H95" s="3">
        <v>0</v>
      </c>
      <c r="I95" s="3">
        <f>VLOOKUP(E95,codex!$A$1:$B$358,2,0)</f>
        <v>0</v>
      </c>
    </row>
    <row r="96" spans="1:9" x14ac:dyDescent="0.25">
      <c r="A96" t="s">
        <v>20</v>
      </c>
      <c r="B96" s="3" t="s">
        <v>1295</v>
      </c>
      <c r="C96" t="s">
        <v>390</v>
      </c>
      <c r="D96" t="s">
        <v>391</v>
      </c>
      <c r="E96" t="str">
        <f t="shared" si="1"/>
        <v>org.adoptopenjdk.jitwatch.jarscan.invokecount.InvokeCountOperation</v>
      </c>
      <c r="F96" t="s">
        <v>392</v>
      </c>
      <c r="G96">
        <v>1252</v>
      </c>
      <c r="H96" s="3">
        <v>0</v>
      </c>
      <c r="I96" s="3">
        <f>VLOOKUP(E96,codex!$A$1:$B$358,2,0)</f>
        <v>0</v>
      </c>
    </row>
    <row r="97" spans="1:9" x14ac:dyDescent="0.25">
      <c r="A97" t="s">
        <v>8</v>
      </c>
      <c r="B97" s="3" t="s">
        <v>1295</v>
      </c>
      <c r="C97" t="s">
        <v>123</v>
      </c>
      <c r="D97" t="s">
        <v>393</v>
      </c>
      <c r="E97" t="str">
        <f t="shared" si="1"/>
        <v>net.bytebuddy.matcher.BooleanMatcher</v>
      </c>
      <c r="F97" t="s">
        <v>394</v>
      </c>
      <c r="G97">
        <v>559</v>
      </c>
      <c r="H97" s="3">
        <v>0</v>
      </c>
      <c r="I97" s="3">
        <f>VLOOKUP(E97,codex!$A$1:$B$358,2,0)</f>
        <v>0</v>
      </c>
    </row>
    <row r="98" spans="1:9" x14ac:dyDescent="0.25">
      <c r="A98" t="s">
        <v>28</v>
      </c>
      <c r="B98" s="3" t="s">
        <v>1295</v>
      </c>
      <c r="C98" t="s">
        <v>395</v>
      </c>
      <c r="D98" t="s">
        <v>396</v>
      </c>
      <c r="E98" t="str">
        <f t="shared" si="1"/>
        <v>com.google.common.jimfs.AbstractWatchService.Event</v>
      </c>
      <c r="F98" t="s">
        <v>397</v>
      </c>
      <c r="G98">
        <v>249</v>
      </c>
      <c r="H98" s="3">
        <v>0</v>
      </c>
      <c r="I98" s="3">
        <f>VLOOKUP(E98,codex!$A$1:$B$358,2,0)</f>
        <v>0</v>
      </c>
    </row>
    <row r="99" spans="1:9" x14ac:dyDescent="0.25">
      <c r="A99" t="s">
        <v>6</v>
      </c>
      <c r="B99" s="3" t="s">
        <v>1295</v>
      </c>
      <c r="C99" t="s">
        <v>398</v>
      </c>
      <c r="D99" t="s">
        <v>399</v>
      </c>
      <c r="E99" t="str">
        <f t="shared" si="1"/>
        <v>com.github.javaparser.resolution.declarations.ResolvedTypeParametrizable</v>
      </c>
      <c r="F99" t="s">
        <v>400</v>
      </c>
      <c r="G99">
        <v>1179</v>
      </c>
      <c r="H99" s="3">
        <v>0</v>
      </c>
      <c r="I99" s="3">
        <f>VLOOKUP(E99,codex!$A$1:$B$358,2,0)</f>
        <v>0</v>
      </c>
    </row>
    <row r="100" spans="1:9" x14ac:dyDescent="0.25">
      <c r="A100" t="s">
        <v>57</v>
      </c>
      <c r="B100" s="3" t="s">
        <v>1295</v>
      </c>
      <c r="C100" t="s">
        <v>320</v>
      </c>
      <c r="D100" t="s">
        <v>401</v>
      </c>
      <c r="E100" t="str">
        <f t="shared" si="1"/>
        <v>com.google.googlejavaformat.FormattingError</v>
      </c>
      <c r="F100" t="s">
        <v>402</v>
      </c>
      <c r="G100">
        <v>289</v>
      </c>
      <c r="H100" s="3">
        <v>0</v>
      </c>
      <c r="I100" s="3">
        <f>VLOOKUP(E100,codex!$A$1:$B$358,2,0)</f>
        <v>0</v>
      </c>
    </row>
    <row r="101" spans="1:9" x14ac:dyDescent="0.25">
      <c r="A101" t="s">
        <v>6</v>
      </c>
      <c r="B101" s="3" t="s">
        <v>1295</v>
      </c>
      <c r="C101" t="s">
        <v>403</v>
      </c>
      <c r="D101" t="s">
        <v>404</v>
      </c>
      <c r="E101" t="str">
        <f t="shared" si="1"/>
        <v>com.github.javaparser.utils.SourceRoot.VisitFileCallback</v>
      </c>
      <c r="F101" t="s">
        <v>405</v>
      </c>
      <c r="G101">
        <v>387</v>
      </c>
      <c r="H101" s="3">
        <v>0</v>
      </c>
      <c r="I101" s="3">
        <f>VLOOKUP(E101,codex!$A$1:$B$358,2,0)</f>
        <v>0</v>
      </c>
    </row>
    <row r="102" spans="1:9" x14ac:dyDescent="0.25">
      <c r="A102" t="s">
        <v>18</v>
      </c>
      <c r="B102" s="3" t="s">
        <v>1295</v>
      </c>
      <c r="C102" t="s">
        <v>406</v>
      </c>
      <c r="D102" t="s">
        <v>202</v>
      </c>
      <c r="E102" t="str">
        <f t="shared" si="1"/>
        <v>com.google.zxing.maxicode.decoder.Decoder</v>
      </c>
      <c r="F102" t="s">
        <v>407</v>
      </c>
      <c r="G102">
        <v>814</v>
      </c>
      <c r="H102" s="3">
        <v>0</v>
      </c>
      <c r="I102" s="3">
        <f>VLOOKUP(E102,codex!$A$1:$B$358,2,0)</f>
        <v>0</v>
      </c>
    </row>
    <row r="103" spans="1:9" x14ac:dyDescent="0.25">
      <c r="A103" t="s">
        <v>14</v>
      </c>
      <c r="B103" s="3" t="s">
        <v>1295</v>
      </c>
      <c r="C103" t="s">
        <v>204</v>
      </c>
      <c r="D103" t="s">
        <v>408</v>
      </c>
      <c r="E103" t="str">
        <f t="shared" si="1"/>
        <v>org.apache.commons.io.build.AbstractOrigin.AbstractRandomAccessFileOrigin</v>
      </c>
      <c r="F103" t="s">
        <v>409</v>
      </c>
      <c r="G103">
        <v>251</v>
      </c>
      <c r="H103" s="3">
        <v>0</v>
      </c>
      <c r="I103" s="3">
        <f>VLOOKUP(E103,codex!$A$1:$B$358,2,0)</f>
        <v>0</v>
      </c>
    </row>
    <row r="104" spans="1:9" x14ac:dyDescent="0.25">
      <c r="A104" t="s">
        <v>8</v>
      </c>
      <c r="B104" s="3" t="s">
        <v>1295</v>
      </c>
      <c r="C104" t="s">
        <v>123</v>
      </c>
      <c r="D104" t="s">
        <v>410</v>
      </c>
      <c r="E104" t="str">
        <f t="shared" si="1"/>
        <v>net.bytebuddy.matcher.DefinedShapeMatcher</v>
      </c>
      <c r="F104" t="s">
        <v>411</v>
      </c>
      <c r="G104">
        <v>414</v>
      </c>
      <c r="H104" s="3">
        <v>0</v>
      </c>
      <c r="I104" s="3">
        <f>VLOOKUP(E104,codex!$A$1:$B$358,2,0)</f>
        <v>0</v>
      </c>
    </row>
    <row r="105" spans="1:9" x14ac:dyDescent="0.25">
      <c r="A105" t="s">
        <v>18</v>
      </c>
      <c r="B105" s="3" t="s">
        <v>1295</v>
      </c>
      <c r="C105" t="s">
        <v>19</v>
      </c>
      <c r="D105" t="s">
        <v>412</v>
      </c>
      <c r="E105" t="str">
        <f t="shared" si="1"/>
        <v>com.google.zxing.MultiFormatWriter</v>
      </c>
      <c r="F105" t="s">
        <v>413</v>
      </c>
      <c r="G105">
        <v>378</v>
      </c>
      <c r="H105" s="3">
        <v>0</v>
      </c>
      <c r="I105" s="3">
        <f>VLOOKUP(E105,codex!$A$1:$B$358,2,0)</f>
        <v>0</v>
      </c>
    </row>
    <row r="106" spans="1:9" x14ac:dyDescent="0.25">
      <c r="A106" t="s">
        <v>34</v>
      </c>
      <c r="B106" s="3" t="s">
        <v>1295</v>
      </c>
      <c r="C106" t="s">
        <v>76</v>
      </c>
      <c r="D106" t="s">
        <v>414</v>
      </c>
      <c r="E106" t="str">
        <f t="shared" si="1"/>
        <v>org.apache.commons.lang3.exception.ExceptionContext</v>
      </c>
      <c r="F106" t="s">
        <v>415</v>
      </c>
      <c r="G106">
        <v>360</v>
      </c>
      <c r="H106" s="3">
        <v>0</v>
      </c>
      <c r="I106" s="3">
        <f>VLOOKUP(E106,codex!$A$1:$B$358,2,0)</f>
        <v>0</v>
      </c>
    </row>
    <row r="107" spans="1:9" x14ac:dyDescent="0.25">
      <c r="A107" t="s">
        <v>6</v>
      </c>
      <c r="B107" s="3" t="s">
        <v>1295</v>
      </c>
      <c r="C107" t="s">
        <v>416</v>
      </c>
      <c r="D107" t="s">
        <v>417</v>
      </c>
      <c r="E107" t="str">
        <f t="shared" si="1"/>
        <v>implements.duplicate.A</v>
      </c>
      <c r="F107" t="s">
        <v>418</v>
      </c>
      <c r="G107">
        <v>242</v>
      </c>
      <c r="H107" s="3">
        <v>0</v>
      </c>
      <c r="I107" s="3">
        <f>VLOOKUP(E107,codex!$A$1:$B$358,2,0)</f>
        <v>0</v>
      </c>
    </row>
    <row r="108" spans="1:9" x14ac:dyDescent="0.25">
      <c r="A108" t="s">
        <v>31</v>
      </c>
      <c r="B108" s="3" t="s">
        <v>1295</v>
      </c>
      <c r="C108" t="s">
        <v>419</v>
      </c>
      <c r="D108" t="s">
        <v>420</v>
      </c>
      <c r="E108" t="str">
        <f t="shared" si="1"/>
        <v>com.google.gson.internal.bind.NumberTypeAdapter</v>
      </c>
      <c r="F108" t="s">
        <v>421</v>
      </c>
      <c r="G108">
        <v>1428</v>
      </c>
      <c r="H108" s="3">
        <v>0</v>
      </c>
      <c r="I108" s="3">
        <f>VLOOKUP(E108,codex!$A$1:$B$358,2,0)</f>
        <v>0</v>
      </c>
    </row>
    <row r="109" spans="1:9" x14ac:dyDescent="0.25">
      <c r="A109" t="s">
        <v>8</v>
      </c>
      <c r="B109" s="3" t="s">
        <v>1295</v>
      </c>
      <c r="C109" t="s">
        <v>145</v>
      </c>
      <c r="D109" t="s">
        <v>422</v>
      </c>
      <c r="E109" t="str">
        <f t="shared" si="1"/>
        <v>net.bytebuddy.implementation.bind.annotation.TargetMethodAnnotationDrivenBinder.OfConstant</v>
      </c>
      <c r="F109" t="s">
        <v>423</v>
      </c>
      <c r="G109">
        <v>448</v>
      </c>
      <c r="H109" s="3">
        <v>0</v>
      </c>
      <c r="I109" s="3">
        <f>VLOOKUP(E109,codex!$A$1:$B$358,2,0)</f>
        <v>0</v>
      </c>
    </row>
    <row r="110" spans="1:9" x14ac:dyDescent="0.25">
      <c r="A110" t="s">
        <v>14</v>
      </c>
      <c r="B110" s="3" t="s">
        <v>1295</v>
      </c>
      <c r="C110" t="s">
        <v>30</v>
      </c>
      <c r="D110" t="s">
        <v>129</v>
      </c>
      <c r="E110" t="str">
        <f t="shared" si="1"/>
        <v>org.apache.commons.io.file.SimplePathVisitor</v>
      </c>
      <c r="F110" t="s">
        <v>424</v>
      </c>
      <c r="G110">
        <v>537</v>
      </c>
      <c r="H110" s="3">
        <v>0</v>
      </c>
      <c r="I110" s="3">
        <f>VLOOKUP(E110,codex!$A$1:$B$358,2,0)</f>
        <v>0</v>
      </c>
    </row>
    <row r="111" spans="1:9" x14ac:dyDescent="0.25">
      <c r="A111" t="s">
        <v>53</v>
      </c>
      <c r="B111" s="3" t="s">
        <v>1295</v>
      </c>
      <c r="C111" t="s">
        <v>425</v>
      </c>
      <c r="D111" t="s">
        <v>426</v>
      </c>
      <c r="E111" t="str">
        <f t="shared" si="1"/>
        <v>org.jsoup.examples.ListLinks</v>
      </c>
      <c r="F111" t="s">
        <v>427</v>
      </c>
      <c r="G111">
        <v>631</v>
      </c>
      <c r="H111" s="3">
        <v>0</v>
      </c>
      <c r="I111" s="3">
        <f>VLOOKUP(E111,codex!$A$1:$B$358,2,0)</f>
        <v>0</v>
      </c>
    </row>
    <row r="112" spans="1:9" x14ac:dyDescent="0.25">
      <c r="A112" t="s">
        <v>31</v>
      </c>
      <c r="B112" s="3" t="s">
        <v>1295</v>
      </c>
      <c r="C112" t="s">
        <v>428</v>
      </c>
      <c r="D112" t="s">
        <v>33</v>
      </c>
      <c r="E112" t="str">
        <f t="shared" si="1"/>
        <v>com.google.gson.internal.bind.ReflectiveTypeAdapterFactory.Adapter</v>
      </c>
      <c r="F112" t="s">
        <v>429</v>
      </c>
      <c r="G112">
        <v>290</v>
      </c>
      <c r="H112" s="3">
        <v>0</v>
      </c>
      <c r="I112" s="3">
        <f>VLOOKUP(E112,codex!$A$1:$B$358,2,0)</f>
        <v>0</v>
      </c>
    </row>
    <row r="113" spans="1:9" x14ac:dyDescent="0.25">
      <c r="A113" t="s">
        <v>20</v>
      </c>
      <c r="B113" s="3" t="s">
        <v>1295</v>
      </c>
      <c r="C113" t="s">
        <v>430</v>
      </c>
      <c r="D113" t="s">
        <v>431</v>
      </c>
      <c r="E113" t="str">
        <f t="shared" si="1"/>
        <v>org.adoptopenjdk.jitwatch.ui.compilationchooser.CompilationChooser</v>
      </c>
      <c r="F113" t="s">
        <v>432</v>
      </c>
      <c r="G113">
        <v>1335</v>
      </c>
      <c r="H113" s="3">
        <v>0</v>
      </c>
      <c r="I113" s="3">
        <f>VLOOKUP(E113,codex!$A$1:$B$358,2,0)</f>
        <v>0</v>
      </c>
    </row>
    <row r="114" spans="1:9" x14ac:dyDescent="0.25">
      <c r="A114" t="s">
        <v>6</v>
      </c>
      <c r="B114" s="3" t="s">
        <v>1295</v>
      </c>
      <c r="C114" t="s">
        <v>106</v>
      </c>
      <c r="D114" t="s">
        <v>433</v>
      </c>
      <c r="E114" t="str">
        <f t="shared" si="1"/>
        <v>com.github.javaparser.ParserConfiguration</v>
      </c>
      <c r="F114" t="s">
        <v>434</v>
      </c>
      <c r="G114">
        <v>3704</v>
      </c>
      <c r="H114" s="3">
        <v>0</v>
      </c>
      <c r="I114" s="3">
        <f>VLOOKUP(E114,codex!$A$1:$B$358,2,0)</f>
        <v>1</v>
      </c>
    </row>
    <row r="115" spans="1:9" x14ac:dyDescent="0.25">
      <c r="A115" t="s">
        <v>8</v>
      </c>
      <c r="B115" s="3" t="s">
        <v>1295</v>
      </c>
      <c r="C115" t="s">
        <v>16</v>
      </c>
      <c r="D115" t="s">
        <v>435</v>
      </c>
      <c r="E115" t="str">
        <f t="shared" si="1"/>
        <v>net.bytebuddy.implementation.bind.MethodDelegationBinder.ParameterBinding</v>
      </c>
      <c r="F115" t="s">
        <v>436</v>
      </c>
      <c r="G115">
        <v>779</v>
      </c>
      <c r="H115" s="3">
        <v>0</v>
      </c>
      <c r="I115" s="3">
        <f>VLOOKUP(E115,codex!$A$1:$B$358,2,0)</f>
        <v>0</v>
      </c>
    </row>
    <row r="116" spans="1:9" x14ac:dyDescent="0.25">
      <c r="A116" t="s">
        <v>20</v>
      </c>
      <c r="B116" s="3" t="s">
        <v>1295</v>
      </c>
      <c r="C116" t="s">
        <v>437</v>
      </c>
      <c r="D116" t="s">
        <v>438</v>
      </c>
      <c r="E116" t="str">
        <f t="shared" si="1"/>
        <v>org.adoptopenjdk.jitwatch.compilation.CompilationUtil</v>
      </c>
      <c r="F116" t="s">
        <v>439</v>
      </c>
      <c r="G116">
        <v>2936</v>
      </c>
      <c r="H116" s="3">
        <v>0</v>
      </c>
      <c r="I116" s="3">
        <f>VLOOKUP(E116,codex!$A$1:$B$358,2,0)</f>
        <v>1</v>
      </c>
    </row>
    <row r="117" spans="1:9" x14ac:dyDescent="0.25">
      <c r="A117" t="s">
        <v>8</v>
      </c>
      <c r="B117" s="3" t="s">
        <v>1295</v>
      </c>
      <c r="C117" t="s">
        <v>61</v>
      </c>
      <c r="D117" t="s">
        <v>440</v>
      </c>
      <c r="E117" t="str">
        <f t="shared" si="1"/>
        <v>net.bytebuddy.pool.TypePool.Loadable</v>
      </c>
      <c r="F117" t="s">
        <v>441</v>
      </c>
      <c r="G117">
        <v>430</v>
      </c>
      <c r="H117" s="3">
        <v>0</v>
      </c>
      <c r="I117" s="3">
        <f>VLOOKUP(E117,codex!$A$1:$B$358,2,0)</f>
        <v>0</v>
      </c>
    </row>
    <row r="118" spans="1:9" x14ac:dyDescent="0.25">
      <c r="A118" t="s">
        <v>8</v>
      </c>
      <c r="B118" s="3" t="s">
        <v>1295</v>
      </c>
      <c r="C118" t="s">
        <v>23</v>
      </c>
      <c r="D118" t="s">
        <v>442</v>
      </c>
      <c r="E118" t="str">
        <f t="shared" si="1"/>
        <v>net.bytebuddy.implementation.MethodCall.WithImplicitType</v>
      </c>
      <c r="F118" t="s">
        <v>443</v>
      </c>
      <c r="G118">
        <v>1361</v>
      </c>
      <c r="H118" s="3">
        <v>0</v>
      </c>
      <c r="I118" s="3">
        <f>VLOOKUP(E118,codex!$A$1:$B$358,2,0)</f>
        <v>0</v>
      </c>
    </row>
    <row r="119" spans="1:9" x14ac:dyDescent="0.25">
      <c r="A119" t="s">
        <v>6</v>
      </c>
      <c r="B119" s="3" t="s">
        <v>1295</v>
      </c>
      <c r="C119" t="s">
        <v>444</v>
      </c>
      <c r="D119" t="s">
        <v>99</v>
      </c>
      <c r="E119" t="str">
        <f t="shared" si="1"/>
        <v>main.GrandParent.MyEnum</v>
      </c>
      <c r="F119" t="s">
        <v>445</v>
      </c>
      <c r="G119">
        <v>244</v>
      </c>
      <c r="H119" s="3">
        <v>0</v>
      </c>
      <c r="I119" s="3">
        <f>VLOOKUP(E119,codex!$A$1:$B$358,2,0)</f>
        <v>0</v>
      </c>
    </row>
    <row r="120" spans="1:9" x14ac:dyDescent="0.25">
      <c r="A120" t="s">
        <v>8</v>
      </c>
      <c r="B120" s="3" t="s">
        <v>1295</v>
      </c>
      <c r="C120" t="s">
        <v>75</v>
      </c>
      <c r="D120" t="s">
        <v>446</v>
      </c>
      <c r="E120" t="str">
        <f t="shared" si="1"/>
        <v>net.bytebuddy.agent.VirtualMachine.NamedPipeResponse</v>
      </c>
      <c r="F120" t="s">
        <v>447</v>
      </c>
      <c r="G120">
        <v>248</v>
      </c>
      <c r="H120" s="3">
        <v>0</v>
      </c>
      <c r="I120" s="3">
        <f>VLOOKUP(E120,codex!$A$1:$B$358,2,0)</f>
        <v>0</v>
      </c>
    </row>
    <row r="121" spans="1:9" x14ac:dyDescent="0.25">
      <c r="A121" t="s">
        <v>8</v>
      </c>
      <c r="B121" s="3" t="s">
        <v>1295</v>
      </c>
      <c r="C121" t="s">
        <v>448</v>
      </c>
      <c r="D121" t="s">
        <v>332</v>
      </c>
      <c r="E121" t="str">
        <f t="shared" si="1"/>
        <v>net.bytebuddy.build.AndroidDescriptor.Trivial</v>
      </c>
      <c r="F121" t="s">
        <v>449</v>
      </c>
      <c r="G121">
        <v>247</v>
      </c>
      <c r="H121" s="3">
        <v>0</v>
      </c>
      <c r="I121" s="3">
        <f>VLOOKUP(E121,codex!$A$1:$B$358,2,0)</f>
        <v>0</v>
      </c>
    </row>
    <row r="122" spans="1:9" x14ac:dyDescent="0.25">
      <c r="A122" t="s">
        <v>20</v>
      </c>
      <c r="B122" s="3" t="s">
        <v>1295</v>
      </c>
      <c r="C122" t="s">
        <v>166</v>
      </c>
      <c r="D122" t="s">
        <v>450</v>
      </c>
      <c r="E122" t="str">
        <f t="shared" si="1"/>
        <v>org.adoptopenjdk.jitwatch.model.CompilerName</v>
      </c>
      <c r="F122" t="s">
        <v>451</v>
      </c>
      <c r="G122">
        <v>250</v>
      </c>
      <c r="H122" s="3">
        <v>0</v>
      </c>
      <c r="I122" s="3">
        <f>VLOOKUP(E122,codex!$A$1:$B$358,2,0)</f>
        <v>0</v>
      </c>
    </row>
    <row r="123" spans="1:9" x14ac:dyDescent="0.25">
      <c r="A123" t="s">
        <v>6</v>
      </c>
      <c r="B123" s="3" t="s">
        <v>1295</v>
      </c>
      <c r="C123" t="s">
        <v>452</v>
      </c>
      <c r="D123" t="s">
        <v>453</v>
      </c>
      <c r="E123" t="str">
        <f t="shared" si="1"/>
        <v>com.github.javaparser.generator.core.node.ReplaceMethodGenerator</v>
      </c>
      <c r="F123" t="s">
        <v>454</v>
      </c>
      <c r="G123">
        <v>1884</v>
      </c>
      <c r="H123" s="3">
        <v>0</v>
      </c>
      <c r="I123" s="3">
        <f>VLOOKUP(E123,codex!$A$1:$B$358,2,0)</f>
        <v>0</v>
      </c>
    </row>
    <row r="124" spans="1:9" x14ac:dyDescent="0.25">
      <c r="A124" t="s">
        <v>18</v>
      </c>
      <c r="B124" s="3" t="s">
        <v>1295</v>
      </c>
      <c r="C124" t="s">
        <v>455</v>
      </c>
      <c r="D124" t="s">
        <v>456</v>
      </c>
      <c r="E124" t="str">
        <f t="shared" si="1"/>
        <v>com.google.zxing.pdf417.decoder.ec.ErrorCorrection</v>
      </c>
      <c r="F124" t="s">
        <v>457</v>
      </c>
      <c r="G124">
        <v>685</v>
      </c>
      <c r="H124" s="3">
        <v>0</v>
      </c>
      <c r="I124" s="3">
        <f>VLOOKUP(E124,codex!$A$1:$B$358,2,0)</f>
        <v>0</v>
      </c>
    </row>
    <row r="125" spans="1:9" x14ac:dyDescent="0.25">
      <c r="A125" t="s">
        <v>8</v>
      </c>
      <c r="B125" s="3" t="s">
        <v>1295</v>
      </c>
      <c r="C125" t="s">
        <v>62</v>
      </c>
      <c r="D125" t="s">
        <v>63</v>
      </c>
      <c r="E125" t="str">
        <f t="shared" si="1"/>
        <v>net.bytebuddy.build.Plugin.CompoundIterator</v>
      </c>
      <c r="F125" t="s">
        <v>458</v>
      </c>
      <c r="G125">
        <v>247</v>
      </c>
      <c r="H125" s="3">
        <v>0</v>
      </c>
      <c r="I125" s="3">
        <f>VLOOKUP(E125,codex!$A$1:$B$358,2,0)</f>
        <v>0</v>
      </c>
    </row>
    <row r="126" spans="1:9" x14ac:dyDescent="0.25">
      <c r="A126" t="s">
        <v>34</v>
      </c>
      <c r="B126" s="3" t="s">
        <v>1295</v>
      </c>
      <c r="C126" t="s">
        <v>154</v>
      </c>
      <c r="D126" t="s">
        <v>459</v>
      </c>
      <c r="E126" t="str">
        <f t="shared" si="1"/>
        <v>org.apache.commons.lang3.function.FailableIntUnaryOperator</v>
      </c>
      <c r="F126" t="s">
        <v>460</v>
      </c>
      <c r="G126">
        <v>250</v>
      </c>
      <c r="H126" s="3">
        <v>0</v>
      </c>
      <c r="I126" s="3">
        <f>VLOOKUP(E126,codex!$A$1:$B$358,2,0)</f>
        <v>0</v>
      </c>
    </row>
    <row r="127" spans="1:9" x14ac:dyDescent="0.25">
      <c r="A127" t="s">
        <v>18</v>
      </c>
      <c r="B127" s="3" t="s">
        <v>1295</v>
      </c>
      <c r="C127" t="s">
        <v>461</v>
      </c>
      <c r="D127" t="s">
        <v>462</v>
      </c>
      <c r="E127" t="str">
        <f t="shared" si="1"/>
        <v>com.google.zxing.client.android.share.BookmarkPickerActivity</v>
      </c>
      <c r="F127" t="s">
        <v>463</v>
      </c>
      <c r="G127">
        <v>293</v>
      </c>
      <c r="H127" s="3">
        <v>0</v>
      </c>
      <c r="I127" s="3">
        <f>VLOOKUP(E127,codex!$A$1:$B$358,2,0)</f>
        <v>0</v>
      </c>
    </row>
    <row r="128" spans="1:9" x14ac:dyDescent="0.25">
      <c r="A128" t="s">
        <v>18</v>
      </c>
      <c r="B128" s="3" t="s">
        <v>1295</v>
      </c>
      <c r="C128" t="s">
        <v>45</v>
      </c>
      <c r="D128" t="s">
        <v>464</v>
      </c>
      <c r="E128" t="str">
        <f t="shared" si="1"/>
        <v>com.google.zxing.web.DecodeServlet</v>
      </c>
      <c r="F128" t="s">
        <v>465</v>
      </c>
      <c r="G128">
        <v>789</v>
      </c>
      <c r="H128" s="3">
        <v>0</v>
      </c>
      <c r="I128" s="3">
        <f>VLOOKUP(E128,codex!$A$1:$B$358,2,0)</f>
        <v>0</v>
      </c>
    </row>
    <row r="129" spans="1:9" x14ac:dyDescent="0.25">
      <c r="A129" t="s">
        <v>8</v>
      </c>
      <c r="B129" s="3" t="s">
        <v>1295</v>
      </c>
      <c r="C129" t="s">
        <v>12</v>
      </c>
      <c r="D129" t="s">
        <v>466</v>
      </c>
      <c r="E129" t="str">
        <f t="shared" si="1"/>
        <v>net.bytebuddy.description.type.TypeList.ForDetachedTypes</v>
      </c>
      <c r="F129" t="s">
        <v>467</v>
      </c>
      <c r="G129">
        <v>1160</v>
      </c>
      <c r="H129" s="3">
        <v>0</v>
      </c>
      <c r="I129" s="3">
        <f>VLOOKUP(E129,codex!$A$1:$B$358,2,0)</f>
        <v>1</v>
      </c>
    </row>
    <row r="130" spans="1:9" x14ac:dyDescent="0.25">
      <c r="A130" t="s">
        <v>53</v>
      </c>
      <c r="B130" s="3" t="s">
        <v>1295</v>
      </c>
      <c r="C130" t="s">
        <v>124</v>
      </c>
      <c r="D130" t="s">
        <v>468</v>
      </c>
      <c r="E130" t="str">
        <f t="shared" si="1"/>
        <v>org.jsoup.select.Evaluator.AttributeWithValueContaining</v>
      </c>
      <c r="F130" t="s">
        <v>469</v>
      </c>
      <c r="G130">
        <v>247</v>
      </c>
      <c r="H130" s="3">
        <v>0</v>
      </c>
      <c r="I130" s="3">
        <f>VLOOKUP(E130,codex!$A$1:$B$358,2,0)</f>
        <v>0</v>
      </c>
    </row>
    <row r="131" spans="1:9" x14ac:dyDescent="0.25">
      <c r="A131" t="s">
        <v>6</v>
      </c>
      <c r="B131" s="3" t="s">
        <v>1295</v>
      </c>
      <c r="C131" t="s">
        <v>470</v>
      </c>
      <c r="D131" t="s">
        <v>471</v>
      </c>
      <c r="E131" t="str">
        <f t="shared" ref="E131:E194" si="2">C131&amp;"."&amp;D131</f>
        <v>(default package).EnumWithInnerType.EnumInner</v>
      </c>
      <c r="F131" t="s">
        <v>472</v>
      </c>
      <c r="G131">
        <v>247</v>
      </c>
      <c r="H131" s="3">
        <v>0</v>
      </c>
      <c r="I131" s="3">
        <f>VLOOKUP(E131,codex!$A$1:$B$358,2,0)</f>
        <v>0</v>
      </c>
    </row>
    <row r="132" spans="1:9" x14ac:dyDescent="0.25">
      <c r="A132" t="s">
        <v>20</v>
      </c>
      <c r="B132" s="3" t="s">
        <v>1295</v>
      </c>
      <c r="C132" t="s">
        <v>149</v>
      </c>
      <c r="D132" t="s">
        <v>473</v>
      </c>
      <c r="E132" t="str">
        <f t="shared" si="2"/>
        <v>org.adoptopenjdk.jitwatch.ui.viewer.AbstractTextViewerStage</v>
      </c>
      <c r="F132" t="s">
        <v>474</v>
      </c>
      <c r="G132">
        <v>1314</v>
      </c>
      <c r="H132" s="3">
        <v>0</v>
      </c>
      <c r="I132" s="3">
        <f>VLOOKUP(E132,codex!$A$1:$B$358,2,0)</f>
        <v>0</v>
      </c>
    </row>
    <row r="133" spans="1:9" x14ac:dyDescent="0.25">
      <c r="A133" t="s">
        <v>8</v>
      </c>
      <c r="B133" s="3" t="s">
        <v>1295</v>
      </c>
      <c r="C133" t="s">
        <v>475</v>
      </c>
      <c r="D133" t="s">
        <v>476</v>
      </c>
      <c r="E133" t="str">
        <f t="shared" si="2"/>
        <v>net.bytebuddy.ClassFileVersion.Resolver</v>
      </c>
      <c r="F133" t="s">
        <v>477</v>
      </c>
      <c r="G133">
        <v>448</v>
      </c>
      <c r="H133" s="3">
        <v>0</v>
      </c>
      <c r="I133" s="3">
        <f>VLOOKUP(E133,codex!$A$1:$B$358,2,0)</f>
        <v>0</v>
      </c>
    </row>
    <row r="134" spans="1:9" x14ac:dyDescent="0.25">
      <c r="A134" t="s">
        <v>18</v>
      </c>
      <c r="B134" s="3" t="s">
        <v>1295</v>
      </c>
      <c r="C134" t="s">
        <v>478</v>
      </c>
      <c r="D134" t="s">
        <v>479</v>
      </c>
      <c r="E134" t="str">
        <f t="shared" si="2"/>
        <v>com.google.zxing.integration.android.IntentResult</v>
      </c>
      <c r="F134" t="s">
        <v>480</v>
      </c>
      <c r="G134">
        <v>291</v>
      </c>
      <c r="H134" s="3">
        <v>0</v>
      </c>
      <c r="I134" s="3">
        <f>VLOOKUP(E134,codex!$A$1:$B$358,2,0)</f>
        <v>0</v>
      </c>
    </row>
    <row r="135" spans="1:9" x14ac:dyDescent="0.25">
      <c r="A135" t="s">
        <v>53</v>
      </c>
      <c r="B135" s="3" t="s">
        <v>1295</v>
      </c>
      <c r="C135" t="s">
        <v>124</v>
      </c>
      <c r="D135" t="s">
        <v>481</v>
      </c>
      <c r="E135" t="str">
        <f t="shared" si="2"/>
        <v>org.jsoup.select.Evaluator.ContainsWholeOwnText</v>
      </c>
      <c r="F135" t="s">
        <v>482</v>
      </c>
      <c r="G135">
        <v>247</v>
      </c>
      <c r="H135" s="3">
        <v>0</v>
      </c>
      <c r="I135" s="3">
        <f>VLOOKUP(E135,codex!$A$1:$B$358,2,0)</f>
        <v>0</v>
      </c>
    </row>
    <row r="136" spans="1:9" x14ac:dyDescent="0.25">
      <c r="A136" t="s">
        <v>28</v>
      </c>
      <c r="B136" s="3" t="s">
        <v>1295</v>
      </c>
      <c r="C136" t="s">
        <v>395</v>
      </c>
      <c r="D136" t="s">
        <v>153</v>
      </c>
      <c r="E136" t="str">
        <f t="shared" si="2"/>
        <v>com.google.common.jimfs.AbstractWatchService.State</v>
      </c>
      <c r="F136" t="s">
        <v>483</v>
      </c>
      <c r="G136">
        <v>309</v>
      </c>
      <c r="H136" s="3">
        <v>0</v>
      </c>
      <c r="I136" s="3">
        <f>VLOOKUP(E136,codex!$A$1:$B$358,2,0)</f>
        <v>0</v>
      </c>
    </row>
    <row r="137" spans="1:9" x14ac:dyDescent="0.25">
      <c r="A137" t="s">
        <v>53</v>
      </c>
      <c r="B137" s="3" t="s">
        <v>1295</v>
      </c>
      <c r="C137" t="s">
        <v>124</v>
      </c>
      <c r="D137" t="s">
        <v>484</v>
      </c>
      <c r="E137" t="str">
        <f t="shared" si="2"/>
        <v>org.jsoup.select.Evaluator.Class</v>
      </c>
      <c r="F137" t="s">
        <v>485</v>
      </c>
      <c r="G137">
        <v>244</v>
      </c>
      <c r="H137" s="3">
        <v>0</v>
      </c>
      <c r="I137" s="3">
        <f>VLOOKUP(E137,codex!$A$1:$B$358,2,0)</f>
        <v>0</v>
      </c>
    </row>
    <row r="138" spans="1:9" x14ac:dyDescent="0.25">
      <c r="A138" t="s">
        <v>20</v>
      </c>
      <c r="B138" s="3" t="s">
        <v>1295</v>
      </c>
      <c r="C138" t="s">
        <v>486</v>
      </c>
      <c r="D138" t="s">
        <v>487</v>
      </c>
      <c r="E138" t="str">
        <f t="shared" si="2"/>
        <v>org.adoptopenjdk.jitwatch.core.JITWatchConfig.BackgroundCompilation</v>
      </c>
      <c r="F138" t="s">
        <v>488</v>
      </c>
      <c r="G138">
        <v>413</v>
      </c>
      <c r="H138" s="3">
        <v>0</v>
      </c>
      <c r="I138" s="3">
        <f>VLOOKUP(E138,codex!$A$1:$B$358,2,0)</f>
        <v>0</v>
      </c>
    </row>
    <row r="139" spans="1:9" x14ac:dyDescent="0.25">
      <c r="A139" t="s">
        <v>18</v>
      </c>
      <c r="B139" s="3" t="s">
        <v>1295</v>
      </c>
      <c r="C139" t="s">
        <v>103</v>
      </c>
      <c r="D139" t="s">
        <v>202</v>
      </c>
      <c r="E139" t="str">
        <f t="shared" si="2"/>
        <v>com.google.zxing.datamatrix.decoder.Decoder</v>
      </c>
      <c r="F139" t="s">
        <v>489</v>
      </c>
      <c r="G139">
        <v>991</v>
      </c>
      <c r="H139" s="3">
        <v>0</v>
      </c>
      <c r="I139" s="3">
        <f>VLOOKUP(E139,codex!$A$1:$B$358,2,0)</f>
        <v>0</v>
      </c>
    </row>
    <row r="140" spans="1:9" x14ac:dyDescent="0.25">
      <c r="A140" t="s">
        <v>34</v>
      </c>
      <c r="B140" s="3" t="s">
        <v>1295</v>
      </c>
      <c r="C140" t="s">
        <v>154</v>
      </c>
      <c r="D140" t="s">
        <v>490</v>
      </c>
      <c r="E140" t="str">
        <f t="shared" si="2"/>
        <v>org.apache.commons.lang3.function.FailableDoublePredicate</v>
      </c>
      <c r="F140" t="s">
        <v>491</v>
      </c>
      <c r="G140">
        <v>249</v>
      </c>
      <c r="H140" s="3">
        <v>0</v>
      </c>
      <c r="I140" s="3">
        <f>VLOOKUP(E140,codex!$A$1:$B$358,2,0)</f>
        <v>0</v>
      </c>
    </row>
    <row r="141" spans="1:9" x14ac:dyDescent="0.25">
      <c r="A141" t="s">
        <v>8</v>
      </c>
      <c r="B141" s="3" t="s">
        <v>1295</v>
      </c>
      <c r="C141" t="s">
        <v>42</v>
      </c>
      <c r="D141" t="s">
        <v>49</v>
      </c>
      <c r="E141" t="str">
        <f t="shared" si="2"/>
        <v>net.bytebuddy.description.method.ParameterList.OfLegacyVmMethod</v>
      </c>
      <c r="F141" t="s">
        <v>492</v>
      </c>
      <c r="G141">
        <v>623</v>
      </c>
      <c r="H141" s="3">
        <v>0</v>
      </c>
      <c r="I141" s="3">
        <f>VLOOKUP(E141,codex!$A$1:$B$358,2,0)</f>
        <v>0</v>
      </c>
    </row>
    <row r="142" spans="1:9" x14ac:dyDescent="0.25">
      <c r="A142" t="s">
        <v>6</v>
      </c>
      <c r="B142" s="3" t="s">
        <v>1295</v>
      </c>
      <c r="C142" t="s">
        <v>493</v>
      </c>
      <c r="D142" t="s">
        <v>494</v>
      </c>
      <c r="E142" t="str">
        <f t="shared" si="2"/>
        <v>com.github.javaparser.printer.lexicalpreservation.ChildTextElement</v>
      </c>
      <c r="F142" t="s">
        <v>495</v>
      </c>
      <c r="G142">
        <v>1915</v>
      </c>
      <c r="H142" s="3">
        <v>0</v>
      </c>
      <c r="I142" s="3">
        <f>VLOOKUP(E142,codex!$A$1:$B$358,2,0)</f>
        <v>0</v>
      </c>
    </row>
    <row r="143" spans="1:9" x14ac:dyDescent="0.25">
      <c r="A143" t="s">
        <v>8</v>
      </c>
      <c r="B143" s="3" t="s">
        <v>1295</v>
      </c>
      <c r="C143" t="s">
        <v>9</v>
      </c>
      <c r="D143" t="s">
        <v>496</v>
      </c>
      <c r="E143" t="str">
        <f t="shared" si="2"/>
        <v>net.bytebuddy.dynamic.DynamicType.FieldDefinitionAdapter</v>
      </c>
      <c r="F143" t="s">
        <v>497</v>
      </c>
      <c r="G143">
        <v>747</v>
      </c>
      <c r="H143" s="3">
        <v>0</v>
      </c>
      <c r="I143" s="3">
        <f>VLOOKUP(E143,codex!$A$1:$B$358,2,0)</f>
        <v>0</v>
      </c>
    </row>
    <row r="144" spans="1:9" x14ac:dyDescent="0.25">
      <c r="A144" t="s">
        <v>8</v>
      </c>
      <c r="B144" s="3" t="s">
        <v>1295</v>
      </c>
      <c r="C144" t="s">
        <v>94</v>
      </c>
      <c r="D144" t="s">
        <v>498</v>
      </c>
      <c r="E144" t="str">
        <f t="shared" si="2"/>
        <v>net.bytebuddy.dynamic.loading.ClassLoadingStrategy.InjectionDispatcher</v>
      </c>
      <c r="F144" t="s">
        <v>499</v>
      </c>
      <c r="G144">
        <v>933</v>
      </c>
      <c r="H144" s="3">
        <v>0</v>
      </c>
      <c r="I144" s="3">
        <f>VLOOKUP(E144,codex!$A$1:$B$358,2,0)</f>
        <v>0</v>
      </c>
    </row>
    <row r="145" spans="1:9" x14ac:dyDescent="0.25">
      <c r="A145" t="s">
        <v>57</v>
      </c>
      <c r="B145" s="3" t="s">
        <v>1295</v>
      </c>
      <c r="C145" t="s">
        <v>500</v>
      </c>
      <c r="D145" t="s">
        <v>501</v>
      </c>
      <c r="E145" t="str">
        <f t="shared" si="2"/>
        <v>com.google.googlejavaformat.java.RemoveUnusedImports.UnusedImportScanner</v>
      </c>
      <c r="F145" t="s">
        <v>502</v>
      </c>
      <c r="G145">
        <v>350</v>
      </c>
      <c r="H145" s="3">
        <v>0</v>
      </c>
      <c r="I145" s="3">
        <f>VLOOKUP(E145,codex!$A$1:$B$358,2,0)</f>
        <v>0</v>
      </c>
    </row>
    <row r="146" spans="1:9" x14ac:dyDescent="0.25">
      <c r="A146" t="s">
        <v>6</v>
      </c>
      <c r="B146" s="3" t="s">
        <v>1295</v>
      </c>
      <c r="C146" t="s">
        <v>55</v>
      </c>
      <c r="D146" t="s">
        <v>92</v>
      </c>
      <c r="E146" t="str">
        <f t="shared" si="2"/>
        <v>com.github.javaparser.resolution.logic.MethodResolutionLogic</v>
      </c>
      <c r="F146" t="s">
        <v>503</v>
      </c>
      <c r="G146">
        <v>6672</v>
      </c>
      <c r="H146" s="3">
        <v>0</v>
      </c>
      <c r="I146" s="3">
        <f>VLOOKUP(E146,codex!$A$1:$B$358,2,0)</f>
        <v>1</v>
      </c>
    </row>
    <row r="147" spans="1:9" x14ac:dyDescent="0.25">
      <c r="A147" t="s">
        <v>31</v>
      </c>
      <c r="B147" s="3" t="s">
        <v>1295</v>
      </c>
      <c r="C147" t="s">
        <v>32</v>
      </c>
      <c r="D147" t="s">
        <v>33</v>
      </c>
      <c r="E147" t="str">
        <f t="shared" si="2"/>
        <v>com.google.gson.internal.bind.CollectionTypeAdapterFactory.Adapter</v>
      </c>
      <c r="F147" t="s">
        <v>504</v>
      </c>
      <c r="G147">
        <v>548</v>
      </c>
      <c r="H147" s="3">
        <v>0</v>
      </c>
      <c r="I147" s="3">
        <f>VLOOKUP(E147,codex!$A$1:$B$358,2,0)</f>
        <v>0</v>
      </c>
    </row>
    <row r="148" spans="1:9" x14ac:dyDescent="0.25">
      <c r="A148" t="s">
        <v>6</v>
      </c>
      <c r="B148" s="3" t="s">
        <v>1295</v>
      </c>
      <c r="C148" t="s">
        <v>10</v>
      </c>
      <c r="D148" t="s">
        <v>11</v>
      </c>
      <c r="E148" t="str">
        <f t="shared" si="2"/>
        <v>com.packageName.ClassInPackage</v>
      </c>
      <c r="F148" t="s">
        <v>505</v>
      </c>
      <c r="G148">
        <v>284</v>
      </c>
      <c r="H148" s="3">
        <v>0</v>
      </c>
      <c r="I148" s="3">
        <f>VLOOKUP(E148,codex!$A$1:$B$358,2,0)</f>
        <v>0</v>
      </c>
    </row>
    <row r="149" spans="1:9" x14ac:dyDescent="0.25">
      <c r="A149" t="s">
        <v>8</v>
      </c>
      <c r="B149" s="3" t="s">
        <v>1295</v>
      </c>
      <c r="C149" t="s">
        <v>54</v>
      </c>
      <c r="D149" t="s">
        <v>506</v>
      </c>
      <c r="E149" t="str">
        <f t="shared" si="2"/>
        <v>net.bytebuddy.implementation.InvokeDynamic.Simple</v>
      </c>
      <c r="F149" t="s">
        <v>507</v>
      </c>
      <c r="G149">
        <v>1084</v>
      </c>
      <c r="H149" s="3">
        <v>0</v>
      </c>
      <c r="I149" s="3">
        <f>VLOOKUP(E149,codex!$A$1:$B$358,2,0)</f>
        <v>0</v>
      </c>
    </row>
    <row r="150" spans="1:9" x14ac:dyDescent="0.25">
      <c r="A150" t="s">
        <v>20</v>
      </c>
      <c r="B150" s="3" t="s">
        <v>1295</v>
      </c>
      <c r="C150" t="s">
        <v>115</v>
      </c>
      <c r="D150" t="s">
        <v>508</v>
      </c>
      <c r="E150" t="str">
        <f t="shared" si="2"/>
        <v>org.adoptopenjdk.jitwatch.process.compiler.CompilerJRuby</v>
      </c>
      <c r="F150" t="s">
        <v>509</v>
      </c>
      <c r="G150">
        <v>591</v>
      </c>
      <c r="H150" s="3">
        <v>0</v>
      </c>
      <c r="I150" s="3">
        <f>VLOOKUP(E150,codex!$A$1:$B$358,2,0)</f>
        <v>0</v>
      </c>
    </row>
    <row r="151" spans="1:9" x14ac:dyDescent="0.25">
      <c r="A151" t="s">
        <v>20</v>
      </c>
      <c r="B151" s="3" t="s">
        <v>1295</v>
      </c>
      <c r="C151" t="s">
        <v>510</v>
      </c>
      <c r="D151" t="s">
        <v>511</v>
      </c>
      <c r="E151" t="str">
        <f t="shared" si="2"/>
        <v>org.adoptopenjdk.jitwatch.ui.graphing.CodeCacheStage</v>
      </c>
      <c r="F151" t="s">
        <v>512</v>
      </c>
      <c r="G151">
        <v>2082</v>
      </c>
      <c r="H151" s="3">
        <v>0</v>
      </c>
      <c r="I151" s="3">
        <f>VLOOKUP(E151,codex!$A$1:$B$358,2,0)</f>
        <v>0</v>
      </c>
    </row>
    <row r="152" spans="1:9" x14ac:dyDescent="0.25">
      <c r="A152" t="s">
        <v>6</v>
      </c>
      <c r="B152" s="3" t="s">
        <v>1295</v>
      </c>
      <c r="C152" t="s">
        <v>398</v>
      </c>
      <c r="D152" t="s">
        <v>513</v>
      </c>
      <c r="E152" t="str">
        <f t="shared" si="2"/>
        <v>com.github.javaparser.resolution.declarations.ResolvedDeclaration</v>
      </c>
      <c r="F152" t="s">
        <v>514</v>
      </c>
      <c r="G152">
        <v>702</v>
      </c>
      <c r="H152" s="3">
        <v>0</v>
      </c>
      <c r="I152" s="3">
        <f>VLOOKUP(E152,codex!$A$1:$B$358,2,0)</f>
        <v>1</v>
      </c>
    </row>
    <row r="153" spans="1:9" x14ac:dyDescent="0.25">
      <c r="A153" t="s">
        <v>6</v>
      </c>
      <c r="B153" s="3" t="s">
        <v>1295</v>
      </c>
      <c r="C153" t="s">
        <v>515</v>
      </c>
      <c r="D153" t="s">
        <v>516</v>
      </c>
      <c r="E153" t="str">
        <f t="shared" si="2"/>
        <v>foo.bar.AnInterface.ListChangeType</v>
      </c>
      <c r="F153" t="s">
        <v>517</v>
      </c>
      <c r="G153">
        <v>246</v>
      </c>
      <c r="H153" s="3">
        <v>0</v>
      </c>
      <c r="I153" s="3">
        <f>VLOOKUP(E153,codex!$A$1:$B$358,2,0)</f>
        <v>0</v>
      </c>
    </row>
    <row r="154" spans="1:9" x14ac:dyDescent="0.25">
      <c r="A154" t="s">
        <v>20</v>
      </c>
      <c r="B154" s="3" t="s">
        <v>1295</v>
      </c>
      <c r="C154" t="s">
        <v>518</v>
      </c>
      <c r="D154" t="s">
        <v>519</v>
      </c>
      <c r="E154" t="str">
        <f t="shared" si="2"/>
        <v>(default package).PartialEscapeFail.EscapeConsumer</v>
      </c>
      <c r="F154" t="s">
        <v>520</v>
      </c>
      <c r="G154">
        <v>247</v>
      </c>
      <c r="H154" s="3">
        <v>0</v>
      </c>
      <c r="I154" s="3">
        <f>VLOOKUP(E154,codex!$A$1:$B$358,2,0)</f>
        <v>0</v>
      </c>
    </row>
    <row r="155" spans="1:9" x14ac:dyDescent="0.25">
      <c r="A155" t="s">
        <v>6</v>
      </c>
      <c r="B155" s="3" t="s">
        <v>1295</v>
      </c>
      <c r="C155" t="s">
        <v>109</v>
      </c>
      <c r="D155" t="s">
        <v>521</v>
      </c>
      <c r="E155" t="str">
        <f t="shared" si="2"/>
        <v>com.github.javaparser.ast.validator.postprocessors.Java24PostProcessor</v>
      </c>
      <c r="F155" t="s">
        <v>522</v>
      </c>
      <c r="G155">
        <v>252</v>
      </c>
      <c r="H155" s="3">
        <v>0</v>
      </c>
      <c r="I155" s="3">
        <f>VLOOKUP(E155,codex!$A$1:$B$358,2,0)</f>
        <v>0</v>
      </c>
    </row>
    <row r="156" spans="1:9" x14ac:dyDescent="0.25">
      <c r="A156" t="s">
        <v>8</v>
      </c>
      <c r="B156" s="3" t="s">
        <v>1295</v>
      </c>
      <c r="C156" t="s">
        <v>191</v>
      </c>
      <c r="D156" t="s">
        <v>142</v>
      </c>
      <c r="E156" t="str">
        <f t="shared" si="2"/>
        <v>net.bytebuddy.implementation.MethodAccessorFactory.Illegal</v>
      </c>
      <c r="F156" t="s">
        <v>523</v>
      </c>
      <c r="G156">
        <v>953</v>
      </c>
      <c r="H156" s="3">
        <v>0</v>
      </c>
      <c r="I156" s="3">
        <f>VLOOKUP(E156,codex!$A$1:$B$358,2,0)</f>
        <v>0</v>
      </c>
    </row>
    <row r="157" spans="1:9" x14ac:dyDescent="0.25">
      <c r="A157" t="s">
        <v>8</v>
      </c>
      <c r="B157" s="3" t="s">
        <v>1295</v>
      </c>
      <c r="C157" t="s">
        <v>121</v>
      </c>
      <c r="D157" t="s">
        <v>64</v>
      </c>
      <c r="E157" t="str">
        <f t="shared" si="2"/>
        <v>net.bytebuddy.NamingStrategy.AbstractBase</v>
      </c>
      <c r="F157" t="s">
        <v>524</v>
      </c>
      <c r="G157">
        <v>962</v>
      </c>
      <c r="H157" s="3">
        <v>0</v>
      </c>
      <c r="I157" s="3">
        <f>VLOOKUP(E157,codex!$A$1:$B$358,2,0)</f>
        <v>0</v>
      </c>
    </row>
    <row r="158" spans="1:9" x14ac:dyDescent="0.25">
      <c r="A158" t="s">
        <v>6</v>
      </c>
      <c r="B158" s="3" t="s">
        <v>1295</v>
      </c>
      <c r="C158" t="s">
        <v>378</v>
      </c>
      <c r="D158" t="s">
        <v>525</v>
      </c>
      <c r="E158" t="str">
        <f t="shared" si="2"/>
        <v>com.github.javaparser.generator.core.visitor.VoidVisitorAdapterGenerator</v>
      </c>
      <c r="F158" t="s">
        <v>526</v>
      </c>
      <c r="G158">
        <v>1248</v>
      </c>
      <c r="H158" s="3">
        <v>0</v>
      </c>
      <c r="I158" s="3">
        <f>VLOOKUP(E158,codex!$A$1:$B$358,2,0)</f>
        <v>0</v>
      </c>
    </row>
    <row r="159" spans="1:9" x14ac:dyDescent="0.25">
      <c r="A159" t="s">
        <v>8</v>
      </c>
      <c r="B159" s="3" t="s">
        <v>1295</v>
      </c>
      <c r="C159" t="s">
        <v>72</v>
      </c>
      <c r="D159" t="s">
        <v>527</v>
      </c>
      <c r="E159" t="str">
        <f t="shared" si="2"/>
        <v>net.bytebuddy.implementation.bytecode.member.FieldAccess.Defined</v>
      </c>
      <c r="F159" t="s">
        <v>528</v>
      </c>
      <c r="G159">
        <v>399</v>
      </c>
      <c r="H159" s="3">
        <v>0</v>
      </c>
      <c r="I159" s="3">
        <f>VLOOKUP(E159,codex!$A$1:$B$358,2,0)</f>
        <v>0</v>
      </c>
    </row>
    <row r="160" spans="1:9" x14ac:dyDescent="0.25">
      <c r="A160" t="s">
        <v>31</v>
      </c>
      <c r="B160" s="3" t="s">
        <v>1295</v>
      </c>
      <c r="C160" t="s">
        <v>114</v>
      </c>
      <c r="D160" t="s">
        <v>529</v>
      </c>
      <c r="E160" t="str">
        <f t="shared" si="2"/>
        <v>com.google.gson.internal.ReflectionAccessFilterHelper</v>
      </c>
      <c r="F160" t="s">
        <v>530</v>
      </c>
      <c r="G160">
        <v>684</v>
      </c>
      <c r="H160" s="3">
        <v>0</v>
      </c>
      <c r="I160" s="3">
        <f>VLOOKUP(E160,codex!$A$1:$B$358,2,0)</f>
        <v>0</v>
      </c>
    </row>
    <row r="161" spans="1:9" x14ac:dyDescent="0.25">
      <c r="A161" t="s">
        <v>8</v>
      </c>
      <c r="B161" s="3" t="s">
        <v>1295</v>
      </c>
      <c r="C161" t="s">
        <v>54</v>
      </c>
      <c r="D161" t="s">
        <v>531</v>
      </c>
      <c r="E161" t="str">
        <f t="shared" si="2"/>
        <v>net.bytebuddy.implementation.InvokeDynamic.ForNullValue</v>
      </c>
      <c r="F161" t="s">
        <v>532</v>
      </c>
      <c r="G161">
        <v>1152</v>
      </c>
      <c r="H161" s="3">
        <v>0</v>
      </c>
      <c r="I161" s="3">
        <f>VLOOKUP(E161,codex!$A$1:$B$358,2,0)</f>
        <v>0</v>
      </c>
    </row>
    <row r="162" spans="1:9" x14ac:dyDescent="0.25">
      <c r="A162" t="s">
        <v>14</v>
      </c>
      <c r="B162" s="3" t="s">
        <v>1295</v>
      </c>
      <c r="C162" t="s">
        <v>169</v>
      </c>
      <c r="D162" t="s">
        <v>533</v>
      </c>
      <c r="E162" t="str">
        <f t="shared" si="2"/>
        <v>org.apache.commons.io.function.Uncheck</v>
      </c>
      <c r="F162" t="s">
        <v>534</v>
      </c>
      <c r="G162">
        <v>2159</v>
      </c>
      <c r="H162" s="3">
        <v>0</v>
      </c>
      <c r="I162" s="3">
        <f>VLOOKUP(E162,codex!$A$1:$B$358,2,0)</f>
        <v>1</v>
      </c>
    </row>
    <row r="163" spans="1:9" x14ac:dyDescent="0.25">
      <c r="A163" t="s">
        <v>18</v>
      </c>
      <c r="B163" s="3" t="s">
        <v>1295</v>
      </c>
      <c r="C163" t="s">
        <v>37</v>
      </c>
      <c r="D163" t="s">
        <v>535</v>
      </c>
      <c r="E163" t="str">
        <f t="shared" si="2"/>
        <v>com.google.zxing.client.android.CaptureActivity</v>
      </c>
      <c r="F163" t="s">
        <v>536</v>
      </c>
      <c r="G163">
        <v>2279</v>
      </c>
      <c r="H163" s="3">
        <v>0</v>
      </c>
      <c r="I163" s="3">
        <f>VLOOKUP(E163,codex!$A$1:$B$358,2,0)</f>
        <v>1</v>
      </c>
    </row>
    <row r="164" spans="1:9" x14ac:dyDescent="0.25">
      <c r="A164" t="s">
        <v>53</v>
      </c>
      <c r="B164" s="3" t="s">
        <v>1295</v>
      </c>
      <c r="C164" t="s">
        <v>122</v>
      </c>
      <c r="D164" t="s">
        <v>537</v>
      </c>
      <c r="E164" t="str">
        <f t="shared" si="2"/>
        <v>org.jsoup.nodes.DocumentType</v>
      </c>
      <c r="F164" t="s">
        <v>538</v>
      </c>
      <c r="G164">
        <v>1199</v>
      </c>
      <c r="H164" s="3">
        <v>0</v>
      </c>
      <c r="I164" s="3">
        <f>VLOOKUP(E164,codex!$A$1:$B$358,2,0)</f>
        <v>0</v>
      </c>
    </row>
    <row r="165" spans="1:9" x14ac:dyDescent="0.25">
      <c r="A165" t="s">
        <v>8</v>
      </c>
      <c r="B165" s="3" t="s">
        <v>1295</v>
      </c>
      <c r="C165" t="s">
        <v>96</v>
      </c>
      <c r="D165" t="s">
        <v>539</v>
      </c>
      <c r="E165" t="str">
        <f t="shared" si="2"/>
        <v>net.bytebuddy.build.gradle.android.ByteBuddyAndroidPlugin.ForLegacyAndroid</v>
      </c>
      <c r="F165" t="s">
        <v>540</v>
      </c>
      <c r="G165">
        <v>604</v>
      </c>
      <c r="H165" s="3">
        <v>0</v>
      </c>
      <c r="I165" s="3">
        <f>VLOOKUP(E165,codex!$A$1:$B$358,2,0)</f>
        <v>0</v>
      </c>
    </row>
    <row r="166" spans="1:9" x14ac:dyDescent="0.25">
      <c r="A166" t="s">
        <v>20</v>
      </c>
      <c r="B166" s="3" t="s">
        <v>1295</v>
      </c>
      <c r="C166" t="s">
        <v>21</v>
      </c>
      <c r="D166" t="s">
        <v>541</v>
      </c>
      <c r="E166" t="str">
        <f t="shared" si="2"/>
        <v>(default package).SimpleInliningTest</v>
      </c>
      <c r="F166" t="s">
        <v>542</v>
      </c>
      <c r="G166">
        <v>244</v>
      </c>
      <c r="H166" s="3">
        <v>0</v>
      </c>
      <c r="I166" s="3">
        <f>VLOOKUP(E166,codex!$A$1:$B$358,2,0)</f>
        <v>0</v>
      </c>
    </row>
    <row r="167" spans="1:9" x14ac:dyDescent="0.25">
      <c r="A167" t="s">
        <v>6</v>
      </c>
      <c r="B167" s="3" t="s">
        <v>1295</v>
      </c>
      <c r="C167" t="s">
        <v>543</v>
      </c>
      <c r="D167" t="s">
        <v>544</v>
      </c>
      <c r="E167" t="str">
        <f t="shared" si="2"/>
        <v>com.github.javaparser.ast.nodeTypes.NodeWithTraversableScope</v>
      </c>
      <c r="F167" t="s">
        <v>545</v>
      </c>
      <c r="G167">
        <v>252</v>
      </c>
      <c r="H167" s="3">
        <v>0</v>
      </c>
      <c r="I167" s="3">
        <f>VLOOKUP(E167,codex!$A$1:$B$358,2,0)</f>
        <v>0</v>
      </c>
    </row>
    <row r="168" spans="1:9" x14ac:dyDescent="0.25">
      <c r="A168" t="s">
        <v>18</v>
      </c>
      <c r="B168" s="3" t="s">
        <v>1295</v>
      </c>
      <c r="C168" t="s">
        <v>86</v>
      </c>
      <c r="D168" t="s">
        <v>546</v>
      </c>
      <c r="E168" t="str">
        <f t="shared" si="2"/>
        <v>com.google.zxing.common.reedsolomon.GenericGF</v>
      </c>
      <c r="F168" t="s">
        <v>547</v>
      </c>
      <c r="G168">
        <v>1549</v>
      </c>
      <c r="H168" s="3">
        <v>0</v>
      </c>
      <c r="I168" s="3">
        <f>VLOOKUP(E168,codex!$A$1:$B$358,2,0)</f>
        <v>0</v>
      </c>
    </row>
    <row r="169" spans="1:9" x14ac:dyDescent="0.25">
      <c r="A169" t="s">
        <v>8</v>
      </c>
      <c r="B169" s="3" t="s">
        <v>1295</v>
      </c>
      <c r="C169" t="s">
        <v>84</v>
      </c>
      <c r="D169" t="s">
        <v>548</v>
      </c>
      <c r="E169" t="str">
        <f t="shared" si="2"/>
        <v>net.bytebuddy.implementation.attribute.AnnotationAppender.ForTypeAnnotations</v>
      </c>
      <c r="F169" t="s">
        <v>549</v>
      </c>
      <c r="G169">
        <v>1337</v>
      </c>
      <c r="H169" s="3">
        <v>0</v>
      </c>
      <c r="I169" s="3">
        <f>VLOOKUP(E169,codex!$A$1:$B$358,2,0)</f>
        <v>0</v>
      </c>
    </row>
    <row r="170" spans="1:9" x14ac:dyDescent="0.25">
      <c r="A170" t="s">
        <v>8</v>
      </c>
      <c r="B170" s="3" t="s">
        <v>1295</v>
      </c>
      <c r="C170" t="s">
        <v>67</v>
      </c>
      <c r="D170" t="s">
        <v>335</v>
      </c>
      <c r="E170" t="str">
        <f t="shared" si="2"/>
        <v>net.bytebuddy.agent.ByteBuddyAgent.Disabled</v>
      </c>
      <c r="F170" t="s">
        <v>550</v>
      </c>
      <c r="G170">
        <v>542</v>
      </c>
      <c r="H170" s="3">
        <v>0</v>
      </c>
      <c r="I170" s="3">
        <f>VLOOKUP(E170,codex!$A$1:$B$358,2,0)</f>
        <v>0</v>
      </c>
    </row>
    <row r="171" spans="1:9" x14ac:dyDescent="0.25">
      <c r="A171" t="s">
        <v>8</v>
      </c>
      <c r="B171" s="3" t="s">
        <v>1295</v>
      </c>
      <c r="C171" t="s">
        <v>551</v>
      </c>
      <c r="D171" t="s">
        <v>552</v>
      </c>
      <c r="E171" t="str">
        <f t="shared" si="2"/>
        <v>net.bytebuddy.dynamic.loading.ClassFilePostProcessor.ForClassFileTransformer</v>
      </c>
      <c r="F171" t="s">
        <v>553</v>
      </c>
      <c r="G171">
        <v>266</v>
      </c>
      <c r="H171" s="3">
        <v>0</v>
      </c>
      <c r="I171" s="3">
        <f>VLOOKUP(E171,codex!$A$1:$B$358,2,0)</f>
        <v>0</v>
      </c>
    </row>
    <row r="172" spans="1:9" x14ac:dyDescent="0.25">
      <c r="A172" t="s">
        <v>8</v>
      </c>
      <c r="B172" s="3" t="s">
        <v>1295</v>
      </c>
      <c r="C172" t="s">
        <v>61</v>
      </c>
      <c r="D172" t="s">
        <v>554</v>
      </c>
      <c r="E172" t="str">
        <f t="shared" si="2"/>
        <v>net.bytebuddy.pool.TypePool.LazyInterface</v>
      </c>
      <c r="F172" t="s">
        <v>555</v>
      </c>
      <c r="G172">
        <v>248</v>
      </c>
      <c r="H172" s="3">
        <v>0</v>
      </c>
      <c r="I172" s="3">
        <f>VLOOKUP(E172,codex!$A$1:$B$358,2,0)</f>
        <v>0</v>
      </c>
    </row>
    <row r="173" spans="1:9" x14ac:dyDescent="0.25">
      <c r="A173" t="s">
        <v>34</v>
      </c>
      <c r="B173" s="3" t="s">
        <v>1295</v>
      </c>
      <c r="C173" t="s">
        <v>556</v>
      </c>
      <c r="D173" t="s">
        <v>557</v>
      </c>
      <c r="E173" t="str">
        <f t="shared" si="2"/>
        <v>org.apache.commons.lang3.concurrent.locks.LockingVisitors.LockVisitor</v>
      </c>
      <c r="F173" t="s">
        <v>558</v>
      </c>
      <c r="G173">
        <v>252</v>
      </c>
      <c r="H173" s="3">
        <v>0</v>
      </c>
      <c r="I173" s="3">
        <f>VLOOKUP(E173,codex!$A$1:$B$358,2,0)</f>
        <v>0</v>
      </c>
    </row>
    <row r="174" spans="1:9" x14ac:dyDescent="0.25">
      <c r="A174" t="s">
        <v>18</v>
      </c>
      <c r="B174" s="3" t="s">
        <v>1295</v>
      </c>
      <c r="C174" t="s">
        <v>559</v>
      </c>
      <c r="D174" t="s">
        <v>560</v>
      </c>
      <c r="E174" t="str">
        <f t="shared" si="2"/>
        <v>com.google.zxing.pdf417.PDF417Common</v>
      </c>
      <c r="F174" t="s">
        <v>561</v>
      </c>
      <c r="G174">
        <v>1093</v>
      </c>
      <c r="H174" s="3">
        <v>0</v>
      </c>
      <c r="I174" s="3">
        <f>VLOOKUP(E174,codex!$A$1:$B$358,2,0)</f>
        <v>0</v>
      </c>
    </row>
    <row r="175" spans="1:9" x14ac:dyDescent="0.25">
      <c r="A175" t="s">
        <v>6</v>
      </c>
      <c r="B175" s="3" t="s">
        <v>1295</v>
      </c>
      <c r="C175" t="s">
        <v>138</v>
      </c>
      <c r="D175" t="s">
        <v>562</v>
      </c>
      <c r="E175" t="str">
        <f t="shared" si="2"/>
        <v>com.github.javaparser.symbolsolver.cache.DefaultCacheStats</v>
      </c>
      <c r="F175" t="s">
        <v>563</v>
      </c>
      <c r="G175">
        <v>298</v>
      </c>
      <c r="H175" s="3">
        <v>0</v>
      </c>
      <c r="I175" s="3">
        <f>VLOOKUP(E175,codex!$A$1:$B$358,2,0)</f>
        <v>0</v>
      </c>
    </row>
    <row r="176" spans="1:9" x14ac:dyDescent="0.25">
      <c r="A176" t="s">
        <v>8</v>
      </c>
      <c r="B176" s="3" t="s">
        <v>1295</v>
      </c>
      <c r="C176" t="s">
        <v>73</v>
      </c>
      <c r="D176" t="s">
        <v>564</v>
      </c>
      <c r="E176" t="str">
        <f t="shared" si="2"/>
        <v>net.bytebuddy.dynamic.ClassFileLocator.ForFolder</v>
      </c>
      <c r="F176" t="s">
        <v>565</v>
      </c>
      <c r="G176">
        <v>316</v>
      </c>
      <c r="H176" s="3">
        <v>0</v>
      </c>
      <c r="I176" s="3">
        <f>VLOOKUP(E176,codex!$A$1:$B$358,2,0)</f>
        <v>0</v>
      </c>
    </row>
    <row r="177" spans="1:9" x14ac:dyDescent="0.25">
      <c r="A177" t="s">
        <v>6</v>
      </c>
      <c r="B177" s="3" t="s">
        <v>1295</v>
      </c>
      <c r="C177" t="s">
        <v>116</v>
      </c>
      <c r="D177" t="s">
        <v>117</v>
      </c>
      <c r="E177" t="str">
        <f t="shared" si="2"/>
        <v>(default package).InnerClassDotExpressions.InnerClass</v>
      </c>
      <c r="F177" t="s">
        <v>566</v>
      </c>
      <c r="G177">
        <v>247</v>
      </c>
      <c r="H177" s="3">
        <v>0</v>
      </c>
      <c r="I177" s="3">
        <f>VLOOKUP(E177,codex!$A$1:$B$358,2,0)</f>
        <v>0</v>
      </c>
    </row>
    <row r="178" spans="1:9" x14ac:dyDescent="0.25">
      <c r="A178" t="s">
        <v>8</v>
      </c>
      <c r="B178" s="3" t="s">
        <v>1295</v>
      </c>
      <c r="C178" t="s">
        <v>61</v>
      </c>
      <c r="D178" t="s">
        <v>567</v>
      </c>
      <c r="E178" t="str">
        <f t="shared" si="2"/>
        <v>net.bytebuddy.pool.TypePool.LazyParameterDescription</v>
      </c>
      <c r="F178" t="s">
        <v>568</v>
      </c>
      <c r="G178">
        <v>778</v>
      </c>
      <c r="H178" s="3">
        <v>0</v>
      </c>
      <c r="I178" s="3">
        <f>VLOOKUP(E178,codex!$A$1:$B$358,2,0)</f>
        <v>0</v>
      </c>
    </row>
    <row r="179" spans="1:9" x14ac:dyDescent="0.25">
      <c r="A179" t="s">
        <v>8</v>
      </c>
      <c r="B179" s="3" t="s">
        <v>1295</v>
      </c>
      <c r="C179" t="s">
        <v>46</v>
      </c>
      <c r="D179" t="s">
        <v>569</v>
      </c>
      <c r="E179" t="str">
        <f t="shared" si="2"/>
        <v>net.bytebuddy.asm.MemberSubstitution.OfGivenMethod</v>
      </c>
      <c r="F179" t="s">
        <v>570</v>
      </c>
      <c r="G179">
        <v>563</v>
      </c>
      <c r="H179" s="3">
        <v>0</v>
      </c>
      <c r="I179" s="3">
        <f>VLOOKUP(E179,codex!$A$1:$B$358,2,0)</f>
        <v>0</v>
      </c>
    </row>
    <row r="180" spans="1:9" x14ac:dyDescent="0.25">
      <c r="A180" t="s">
        <v>18</v>
      </c>
      <c r="B180" s="3" t="s">
        <v>1295</v>
      </c>
      <c r="C180" t="s">
        <v>26</v>
      </c>
      <c r="D180" t="s">
        <v>571</v>
      </c>
      <c r="E180" t="str">
        <f t="shared" si="2"/>
        <v>com.google.zxing.oned.ITFWriter</v>
      </c>
      <c r="F180" t="s">
        <v>572</v>
      </c>
      <c r="G180">
        <v>289</v>
      </c>
      <c r="H180" s="3">
        <v>0</v>
      </c>
      <c r="I180" s="3">
        <f>VLOOKUP(E180,codex!$A$1:$B$358,2,0)</f>
        <v>0</v>
      </c>
    </row>
    <row r="181" spans="1:9" x14ac:dyDescent="0.25">
      <c r="A181" t="s">
        <v>34</v>
      </c>
      <c r="B181" s="3" t="s">
        <v>1295</v>
      </c>
      <c r="C181" t="s">
        <v>38</v>
      </c>
      <c r="D181" t="s">
        <v>573</v>
      </c>
      <c r="E181" t="str">
        <f t="shared" si="2"/>
        <v>org.apache.commons.lang3.concurrent.ConstantInitializer</v>
      </c>
      <c r="F181" t="s">
        <v>574</v>
      </c>
      <c r="G181">
        <v>304</v>
      </c>
      <c r="H181" s="3">
        <v>0</v>
      </c>
      <c r="I181" s="3">
        <f>VLOOKUP(E181,codex!$A$1:$B$358,2,0)</f>
        <v>0</v>
      </c>
    </row>
    <row r="182" spans="1:9" x14ac:dyDescent="0.25">
      <c r="A182" t="s">
        <v>53</v>
      </c>
      <c r="B182" s="3" t="s">
        <v>1295</v>
      </c>
      <c r="C182" t="s">
        <v>575</v>
      </c>
      <c r="D182" t="s">
        <v>576</v>
      </c>
      <c r="E182" t="str">
        <f t="shared" si="2"/>
        <v>org.jsoup.select.StructuralEvaluator.Not</v>
      </c>
      <c r="F182" t="s">
        <v>577</v>
      </c>
      <c r="G182">
        <v>245</v>
      </c>
      <c r="H182" s="3">
        <v>0</v>
      </c>
      <c r="I182" s="3">
        <f>VLOOKUP(E182,codex!$A$1:$B$358,2,0)</f>
        <v>0</v>
      </c>
    </row>
    <row r="183" spans="1:9" x14ac:dyDescent="0.25">
      <c r="A183" t="s">
        <v>8</v>
      </c>
      <c r="B183" s="3" t="s">
        <v>1295</v>
      </c>
      <c r="C183" t="s">
        <v>68</v>
      </c>
      <c r="D183" t="s">
        <v>578</v>
      </c>
      <c r="E183" t="str">
        <f t="shared" si="2"/>
        <v>net.bytebuddy.dynamic.scaffold.TypeWriter.ForClassFileVersion</v>
      </c>
      <c r="F183" t="s">
        <v>579</v>
      </c>
      <c r="G183">
        <v>369</v>
      </c>
      <c r="H183" s="3">
        <v>0</v>
      </c>
      <c r="I183" s="3">
        <f>VLOOKUP(E183,codex!$A$1:$B$358,2,0)</f>
        <v>0</v>
      </c>
    </row>
    <row r="184" spans="1:9" x14ac:dyDescent="0.25">
      <c r="A184" t="s">
        <v>18</v>
      </c>
      <c r="B184" s="3" t="s">
        <v>1295</v>
      </c>
      <c r="C184" t="s">
        <v>44</v>
      </c>
      <c r="D184" t="s">
        <v>580</v>
      </c>
      <c r="E184" t="str">
        <f t="shared" si="2"/>
        <v>com.google.zxing.oned.rss.expanded.decoders.BlockParsedResult</v>
      </c>
      <c r="F184" t="s">
        <v>581</v>
      </c>
      <c r="G184">
        <v>488</v>
      </c>
      <c r="H184" s="3">
        <v>0</v>
      </c>
      <c r="I184" s="3">
        <f>VLOOKUP(E184,codex!$A$1:$B$358,2,0)</f>
        <v>0</v>
      </c>
    </row>
    <row r="185" spans="1:9" x14ac:dyDescent="0.25">
      <c r="A185" t="s">
        <v>34</v>
      </c>
      <c r="B185" s="3" t="s">
        <v>1295</v>
      </c>
      <c r="C185" t="s">
        <v>154</v>
      </c>
      <c r="D185" t="s">
        <v>582</v>
      </c>
      <c r="E185" t="str">
        <f t="shared" si="2"/>
        <v>org.apache.commons.lang3.function.FailableDoubleToLongFunction</v>
      </c>
      <c r="F185" t="s">
        <v>583</v>
      </c>
      <c r="G185">
        <v>251</v>
      </c>
      <c r="H185" s="3">
        <v>0</v>
      </c>
      <c r="I185" s="3">
        <f>VLOOKUP(E185,codex!$A$1:$B$358,2,0)</f>
        <v>0</v>
      </c>
    </row>
    <row r="186" spans="1:9" x14ac:dyDescent="0.25">
      <c r="A186" t="s">
        <v>34</v>
      </c>
      <c r="B186" s="3" t="s">
        <v>1295</v>
      </c>
      <c r="C186" t="s">
        <v>154</v>
      </c>
      <c r="D186" t="s">
        <v>584</v>
      </c>
      <c r="E186" t="str">
        <f t="shared" si="2"/>
        <v>org.apache.commons.lang3.function.FailableObjIntConsumer</v>
      </c>
      <c r="F186" t="s">
        <v>585</v>
      </c>
      <c r="G186">
        <v>250</v>
      </c>
      <c r="H186" s="3">
        <v>0</v>
      </c>
      <c r="I186" s="3">
        <f>VLOOKUP(E186,codex!$A$1:$B$358,2,0)</f>
        <v>0</v>
      </c>
    </row>
    <row r="187" spans="1:9" x14ac:dyDescent="0.25">
      <c r="A187" t="s">
        <v>6</v>
      </c>
      <c r="B187" s="3" t="s">
        <v>1295</v>
      </c>
      <c r="C187" t="s">
        <v>586</v>
      </c>
      <c r="D187" t="s">
        <v>587</v>
      </c>
      <c r="E187" t="str">
        <f t="shared" si="2"/>
        <v>com.github.javaparser.resolution.types.ResolvedArrayType</v>
      </c>
      <c r="F187" t="s">
        <v>588</v>
      </c>
      <c r="G187">
        <v>2465</v>
      </c>
      <c r="H187" s="3">
        <v>0</v>
      </c>
      <c r="I187" s="3">
        <f>VLOOKUP(E187,codex!$A$1:$B$358,2,0)</f>
        <v>0</v>
      </c>
    </row>
    <row r="188" spans="1:9" x14ac:dyDescent="0.25">
      <c r="A188" t="s">
        <v>53</v>
      </c>
      <c r="B188" s="3" t="s">
        <v>1295</v>
      </c>
      <c r="C188" t="s">
        <v>122</v>
      </c>
      <c r="D188" t="s">
        <v>589</v>
      </c>
      <c r="E188" t="str">
        <f t="shared" si="2"/>
        <v>org.jsoup.nodes.NodeUtils</v>
      </c>
      <c r="F188" t="s">
        <v>590</v>
      </c>
      <c r="G188">
        <v>1556</v>
      </c>
      <c r="H188" s="3">
        <v>0</v>
      </c>
      <c r="I188" s="3">
        <f>VLOOKUP(E188,codex!$A$1:$B$358,2,0)</f>
        <v>0</v>
      </c>
    </row>
    <row r="189" spans="1:9" x14ac:dyDescent="0.25">
      <c r="A189" t="s">
        <v>18</v>
      </c>
      <c r="B189" s="3" t="s">
        <v>1295</v>
      </c>
      <c r="C189" t="s">
        <v>112</v>
      </c>
      <c r="D189" t="s">
        <v>591</v>
      </c>
      <c r="E189" t="str">
        <f t="shared" si="2"/>
        <v>com.google.zxing.client.result.SMSTOMMSTOResultParser</v>
      </c>
      <c r="F189" t="s">
        <v>592</v>
      </c>
      <c r="G189">
        <v>380</v>
      </c>
      <c r="H189" s="3">
        <v>0</v>
      </c>
      <c r="I189" s="3">
        <f>VLOOKUP(E189,codex!$A$1:$B$358,2,0)</f>
        <v>0</v>
      </c>
    </row>
    <row r="190" spans="1:9" x14ac:dyDescent="0.25">
      <c r="A190" t="s">
        <v>34</v>
      </c>
      <c r="B190" s="3" t="s">
        <v>1295</v>
      </c>
      <c r="C190" t="s">
        <v>35</v>
      </c>
      <c r="D190" t="s">
        <v>593</v>
      </c>
      <c r="E190" t="str">
        <f t="shared" si="2"/>
        <v>org.apache.commons.lang3.compare.ObjectToStringComparator</v>
      </c>
      <c r="F190" t="s">
        <v>594</v>
      </c>
      <c r="G190">
        <v>249</v>
      </c>
      <c r="H190" s="3">
        <v>0</v>
      </c>
      <c r="I190" s="3">
        <f>VLOOKUP(E190,codex!$A$1:$B$358,2,0)</f>
        <v>0</v>
      </c>
    </row>
    <row r="191" spans="1:9" x14ac:dyDescent="0.25">
      <c r="A191" t="s">
        <v>18</v>
      </c>
      <c r="B191" s="3" t="s">
        <v>1295</v>
      </c>
      <c r="C191" t="s">
        <v>112</v>
      </c>
      <c r="D191" t="s">
        <v>595</v>
      </c>
      <c r="E191" t="str">
        <f t="shared" si="2"/>
        <v>com.google.zxing.client.result.TextParsedResult</v>
      </c>
      <c r="F191" t="s">
        <v>596</v>
      </c>
      <c r="G191">
        <v>295</v>
      </c>
      <c r="H191" s="3">
        <v>0</v>
      </c>
      <c r="I191" s="3">
        <f>VLOOKUP(E191,codex!$A$1:$B$358,2,0)</f>
        <v>0</v>
      </c>
    </row>
    <row r="192" spans="1:9" x14ac:dyDescent="0.25">
      <c r="A192" t="s">
        <v>20</v>
      </c>
      <c r="B192" s="3" t="s">
        <v>1295</v>
      </c>
      <c r="C192" t="s">
        <v>597</v>
      </c>
      <c r="D192" t="s">
        <v>598</v>
      </c>
      <c r="E192" t="str">
        <f t="shared" si="2"/>
        <v>org.adoptopenjdk.jitwatch.ui.parserchooser.IParserSelectedListener</v>
      </c>
      <c r="F192" t="s">
        <v>599</v>
      </c>
      <c r="G192">
        <v>374</v>
      </c>
      <c r="H192" s="3">
        <v>0</v>
      </c>
      <c r="I192" s="3">
        <f>VLOOKUP(E192,codex!$A$1:$B$358,2,0)</f>
        <v>0</v>
      </c>
    </row>
    <row r="193" spans="1:9" x14ac:dyDescent="0.25">
      <c r="A193" t="s">
        <v>6</v>
      </c>
      <c r="B193" s="3" t="s">
        <v>1295</v>
      </c>
      <c r="C193" t="s">
        <v>50</v>
      </c>
      <c r="D193" t="s">
        <v>600</v>
      </c>
      <c r="E193" t="str">
        <f t="shared" si="2"/>
        <v>com.github.javaparser.utils.SourceRoot</v>
      </c>
      <c r="F193" t="s">
        <v>601</v>
      </c>
      <c r="G193">
        <v>5527</v>
      </c>
      <c r="H193" s="3">
        <v>0</v>
      </c>
      <c r="I193" s="3">
        <f>VLOOKUP(E193,codex!$A$1:$B$358,2,0)</f>
        <v>1</v>
      </c>
    </row>
    <row r="194" spans="1:9" x14ac:dyDescent="0.25">
      <c r="A194" t="s">
        <v>6</v>
      </c>
      <c r="B194" s="3" t="s">
        <v>1295</v>
      </c>
      <c r="C194" t="s">
        <v>602</v>
      </c>
      <c r="D194" t="s">
        <v>603</v>
      </c>
      <c r="E194" t="str">
        <f t="shared" si="2"/>
        <v>com.github.javaparser.resolution.types.parametrization.ResolvedTypeParameterValueProvider</v>
      </c>
      <c r="F194" t="s">
        <v>604</v>
      </c>
      <c r="G194">
        <v>645</v>
      </c>
      <c r="H194" s="3">
        <v>0</v>
      </c>
      <c r="I194" s="3">
        <f>VLOOKUP(E194,codex!$A$1:$B$358,2,0)</f>
        <v>0</v>
      </c>
    </row>
    <row r="195" spans="1:9" x14ac:dyDescent="0.25">
      <c r="A195" t="s">
        <v>8</v>
      </c>
      <c r="B195" s="3" t="s">
        <v>1295</v>
      </c>
      <c r="C195" t="s">
        <v>59</v>
      </c>
      <c r="D195" t="s">
        <v>605</v>
      </c>
      <c r="E195" t="str">
        <f t="shared" ref="E195:E258" si="3">C195&amp;"."&amp;D195</f>
        <v>net.bytebuddy.description.annotation.AnnotationValue.ForNonArrayType</v>
      </c>
      <c r="F195" t="s">
        <v>606</v>
      </c>
      <c r="G195">
        <v>488</v>
      </c>
      <c r="H195" s="3">
        <v>0</v>
      </c>
      <c r="I195" s="3">
        <f>VLOOKUP(E195,codex!$A$1:$B$358,2,0)</f>
        <v>0</v>
      </c>
    </row>
    <row r="196" spans="1:9" x14ac:dyDescent="0.25">
      <c r="A196" t="s">
        <v>8</v>
      </c>
      <c r="B196" s="3" t="s">
        <v>1295</v>
      </c>
      <c r="C196" t="s">
        <v>125</v>
      </c>
      <c r="D196" t="s">
        <v>607</v>
      </c>
      <c r="E196" t="str">
        <f t="shared" si="3"/>
        <v>net.bytebuddy.implementation.bytecode.ShiftRight</v>
      </c>
      <c r="F196" t="s">
        <v>608</v>
      </c>
      <c r="G196">
        <v>902</v>
      </c>
      <c r="H196" s="3">
        <v>0</v>
      </c>
      <c r="I196" s="3">
        <f>VLOOKUP(E196,codex!$A$1:$B$358,2,0)</f>
        <v>0</v>
      </c>
    </row>
    <row r="197" spans="1:9" x14ac:dyDescent="0.25">
      <c r="A197" t="s">
        <v>53</v>
      </c>
      <c r="B197" s="3" t="s">
        <v>1295</v>
      </c>
      <c r="C197" t="s">
        <v>147</v>
      </c>
      <c r="D197" t="s">
        <v>609</v>
      </c>
      <c r="E197" t="str">
        <f t="shared" si="3"/>
        <v>org.jsoup.parser.TreeBuilder</v>
      </c>
      <c r="F197" t="s">
        <v>610</v>
      </c>
      <c r="G197">
        <v>2415</v>
      </c>
      <c r="H197" s="3">
        <v>0</v>
      </c>
      <c r="I197" s="3">
        <f>VLOOKUP(E197,codex!$A$1:$B$358,2,0)</f>
        <v>1</v>
      </c>
    </row>
    <row r="198" spans="1:9" x14ac:dyDescent="0.25">
      <c r="A198" t="s">
        <v>8</v>
      </c>
      <c r="B198" s="3" t="s">
        <v>1295</v>
      </c>
      <c r="C198" t="s">
        <v>126</v>
      </c>
      <c r="D198" t="s">
        <v>165</v>
      </c>
      <c r="E198" t="str">
        <f t="shared" si="3"/>
        <v>net.bytebuddy.implementation.attribute.MethodAttributeAppender.Explicit</v>
      </c>
      <c r="F198" t="s">
        <v>611</v>
      </c>
      <c r="G198">
        <v>535</v>
      </c>
      <c r="H198" s="3">
        <v>0</v>
      </c>
      <c r="I198" s="3">
        <f>VLOOKUP(E198,codex!$A$1:$B$358,2,0)</f>
        <v>0</v>
      </c>
    </row>
    <row r="199" spans="1:9" x14ac:dyDescent="0.25">
      <c r="A199" t="s">
        <v>6</v>
      </c>
      <c r="B199" s="3" t="s">
        <v>1295</v>
      </c>
      <c r="C199" t="s">
        <v>612</v>
      </c>
      <c r="D199" t="s">
        <v>613</v>
      </c>
      <c r="E199" t="str">
        <f t="shared" si="3"/>
        <v>com.github.javaparser.printer.configuration.PrettyPrinterConfiguration</v>
      </c>
      <c r="F199" t="s">
        <v>614</v>
      </c>
      <c r="G199">
        <v>2252</v>
      </c>
      <c r="H199" s="3">
        <v>0</v>
      </c>
      <c r="I199" s="3">
        <f>VLOOKUP(E199,codex!$A$1:$B$358,2,0)</f>
        <v>0</v>
      </c>
    </row>
    <row r="200" spans="1:9" x14ac:dyDescent="0.25">
      <c r="A200" t="s">
        <v>18</v>
      </c>
      <c r="B200" s="3" t="s">
        <v>1295</v>
      </c>
      <c r="C200" t="s">
        <v>139</v>
      </c>
      <c r="D200" t="s">
        <v>140</v>
      </c>
      <c r="E200" t="str">
        <f t="shared" si="3"/>
        <v>com.google.zxing.datamatrix.decoder.Version.ECBlocks</v>
      </c>
      <c r="F200" t="s">
        <v>615</v>
      </c>
      <c r="G200">
        <v>309</v>
      </c>
      <c r="H200" s="3">
        <v>0</v>
      </c>
      <c r="I200" s="3">
        <f>VLOOKUP(E200,codex!$A$1:$B$358,2,0)</f>
        <v>0</v>
      </c>
    </row>
    <row r="201" spans="1:9" x14ac:dyDescent="0.25">
      <c r="A201" t="s">
        <v>6</v>
      </c>
      <c r="B201" s="3" t="s">
        <v>1295</v>
      </c>
      <c r="C201" t="s">
        <v>347</v>
      </c>
      <c r="D201" t="s">
        <v>616</v>
      </c>
      <c r="E201" t="str">
        <f t="shared" si="3"/>
        <v>com.github.javaparser.ast.observer.AstObserver</v>
      </c>
      <c r="F201" t="s">
        <v>617</v>
      </c>
      <c r="G201">
        <v>1878</v>
      </c>
      <c r="H201" s="3">
        <v>0</v>
      </c>
      <c r="I201" s="3">
        <f>VLOOKUP(E201,codex!$A$1:$B$358,2,0)</f>
        <v>0</v>
      </c>
    </row>
    <row r="202" spans="1:9" x14ac:dyDescent="0.25">
      <c r="A202" t="s">
        <v>8</v>
      </c>
      <c r="B202" s="3" t="s">
        <v>1295</v>
      </c>
      <c r="C202" t="s">
        <v>618</v>
      </c>
      <c r="D202" t="s">
        <v>619</v>
      </c>
      <c r="E202" t="str">
        <f t="shared" si="3"/>
        <v>net.bytebuddy.implementation.bind.MethodNameEqualityResolver</v>
      </c>
      <c r="F202" t="s">
        <v>620</v>
      </c>
      <c r="G202">
        <v>1260</v>
      </c>
      <c r="H202" s="3">
        <v>0</v>
      </c>
      <c r="I202" s="3">
        <f>VLOOKUP(E202,codex!$A$1:$B$358,2,0)</f>
        <v>0</v>
      </c>
    </row>
    <row r="203" spans="1:9" x14ac:dyDescent="0.25">
      <c r="A203" t="s">
        <v>20</v>
      </c>
      <c r="B203" s="3" t="s">
        <v>1295</v>
      </c>
      <c r="C203" t="s">
        <v>621</v>
      </c>
      <c r="D203" t="s">
        <v>622</v>
      </c>
      <c r="E203" t="str">
        <f t="shared" si="3"/>
        <v>org.adoptopenjdk.jitwatch.chain.CompileNode</v>
      </c>
      <c r="F203" t="s">
        <v>623</v>
      </c>
      <c r="G203">
        <v>1396</v>
      </c>
      <c r="H203" s="3">
        <v>0</v>
      </c>
      <c r="I203" s="3">
        <f>VLOOKUP(E203,codex!$A$1:$B$358,2,0)</f>
        <v>0</v>
      </c>
    </row>
    <row r="204" spans="1:9" x14ac:dyDescent="0.25">
      <c r="A204" t="s">
        <v>8</v>
      </c>
      <c r="B204" s="3" t="s">
        <v>1295</v>
      </c>
      <c r="C204" t="s">
        <v>144</v>
      </c>
      <c r="D204" t="s">
        <v>624</v>
      </c>
      <c r="E204" t="str">
        <f t="shared" si="3"/>
        <v>net.bytebuddy.implementation.FieldAccessor.OwnerTypeLocatable</v>
      </c>
      <c r="F204" t="s">
        <v>625</v>
      </c>
      <c r="G204">
        <v>611</v>
      </c>
      <c r="H204" s="3">
        <v>0</v>
      </c>
      <c r="I204" s="3">
        <f>VLOOKUP(E204,codex!$A$1:$B$358,2,0)</f>
        <v>0</v>
      </c>
    </row>
    <row r="205" spans="1:9" x14ac:dyDescent="0.25">
      <c r="A205" t="s">
        <v>6</v>
      </c>
      <c r="B205" s="3" t="s">
        <v>1295</v>
      </c>
      <c r="C205" t="s">
        <v>143</v>
      </c>
      <c r="D205" t="s">
        <v>626</v>
      </c>
      <c r="E205" t="str">
        <f t="shared" si="3"/>
        <v>com.github.javaparser.ast.validator.language.level.validations.chunks.ModifierValidator</v>
      </c>
      <c r="F205" t="s">
        <v>627</v>
      </c>
      <c r="G205">
        <v>3122</v>
      </c>
      <c r="H205" s="3">
        <v>0</v>
      </c>
      <c r="I205" s="3">
        <f>VLOOKUP(E205,codex!$A$1:$B$358,2,0)</f>
        <v>0</v>
      </c>
    </row>
    <row r="206" spans="1:9" x14ac:dyDescent="0.25">
      <c r="A206" t="s">
        <v>31</v>
      </c>
      <c r="B206" s="3" t="s">
        <v>1295</v>
      </c>
      <c r="C206" t="s">
        <v>628</v>
      </c>
      <c r="D206" t="s">
        <v>629</v>
      </c>
      <c r="E206" t="str">
        <f t="shared" si="3"/>
        <v>com.example.NoSerializedNameMain.TestClassHasArgsConstructor</v>
      </c>
      <c r="F206" t="s">
        <v>630</v>
      </c>
      <c r="G206">
        <v>337</v>
      </c>
      <c r="H206" s="3">
        <v>0</v>
      </c>
      <c r="I206" s="3">
        <f>VLOOKUP(E206,codex!$A$1:$B$358,2,0)</f>
        <v>0</v>
      </c>
    </row>
    <row r="207" spans="1:9" x14ac:dyDescent="0.25">
      <c r="A207" t="s">
        <v>8</v>
      </c>
      <c r="B207" s="3" t="s">
        <v>1295</v>
      </c>
      <c r="C207" t="s">
        <v>157</v>
      </c>
      <c r="D207" t="s">
        <v>631</v>
      </c>
      <c r="E207" t="str">
        <f t="shared" si="3"/>
        <v>net.bytebuddy.dynamic.loading.ClassInjector.Target</v>
      </c>
      <c r="F207" t="s">
        <v>632</v>
      </c>
      <c r="G207">
        <v>581</v>
      </c>
      <c r="H207" s="3">
        <v>0</v>
      </c>
      <c r="I207" s="3">
        <f>VLOOKUP(E207,codex!$A$1:$B$358,2,0)</f>
        <v>0</v>
      </c>
    </row>
    <row r="208" spans="1:9" x14ac:dyDescent="0.25">
      <c r="A208" t="s">
        <v>28</v>
      </c>
      <c r="B208" s="3" t="s">
        <v>1295</v>
      </c>
      <c r="C208" t="s">
        <v>633</v>
      </c>
      <c r="D208" t="s">
        <v>29</v>
      </c>
      <c r="E208" t="str">
        <f t="shared" si="3"/>
        <v>com.google.common.jimfs.OwnerAttributeProvider.View</v>
      </c>
      <c r="F208" t="s">
        <v>634</v>
      </c>
      <c r="G208">
        <v>249</v>
      </c>
      <c r="H208" s="3">
        <v>0</v>
      </c>
      <c r="I208" s="3">
        <f>VLOOKUP(E208,codex!$A$1:$B$358,2,0)</f>
        <v>0</v>
      </c>
    </row>
    <row r="209" spans="1:9" x14ac:dyDescent="0.25">
      <c r="A209" t="s">
        <v>57</v>
      </c>
      <c r="B209" s="3" t="s">
        <v>1295</v>
      </c>
      <c r="C209" t="s">
        <v>635</v>
      </c>
      <c r="D209" t="s">
        <v>636</v>
      </c>
      <c r="E209" t="str">
        <f t="shared" si="3"/>
        <v>com.google.googlejavaformat.java.ModifierOrderer.ModifierTokens</v>
      </c>
      <c r="F209" t="s">
        <v>637</v>
      </c>
      <c r="G209">
        <v>324</v>
      </c>
      <c r="H209" s="3">
        <v>0</v>
      </c>
      <c r="I209" s="3">
        <f>VLOOKUP(E209,codex!$A$1:$B$358,2,0)</f>
        <v>0</v>
      </c>
    </row>
    <row r="210" spans="1:9" x14ac:dyDescent="0.25">
      <c r="A210" t="s">
        <v>20</v>
      </c>
      <c r="B210" s="3" t="s">
        <v>1295</v>
      </c>
      <c r="C210" t="s">
        <v>638</v>
      </c>
      <c r="D210" t="s">
        <v>639</v>
      </c>
      <c r="E210" t="str">
        <f t="shared" si="3"/>
        <v>org.adoptopenjdk.jitwatch.parser.hotspot.HotSpotLogParser</v>
      </c>
      <c r="F210" t="s">
        <v>640</v>
      </c>
      <c r="G210">
        <v>1044</v>
      </c>
      <c r="H210" s="3">
        <v>0</v>
      </c>
      <c r="I210" s="3">
        <f>VLOOKUP(E210,codex!$A$1:$B$358,2,0)</f>
        <v>0</v>
      </c>
    </row>
    <row r="211" spans="1:9" x14ac:dyDescent="0.25">
      <c r="A211" t="s">
        <v>20</v>
      </c>
      <c r="B211" s="3" t="s">
        <v>1295</v>
      </c>
      <c r="C211" t="s">
        <v>21</v>
      </c>
      <c r="D211" t="s">
        <v>641</v>
      </c>
      <c r="E211" t="str">
        <f t="shared" si="3"/>
        <v>(default package).LoopUnroll</v>
      </c>
      <c r="F211" t="s">
        <v>642</v>
      </c>
      <c r="G211">
        <v>244</v>
      </c>
      <c r="H211" s="3">
        <v>0</v>
      </c>
      <c r="I211" s="3">
        <f>VLOOKUP(E211,codex!$A$1:$B$358,2,0)</f>
        <v>0</v>
      </c>
    </row>
    <row r="212" spans="1:9" x14ac:dyDescent="0.25">
      <c r="A212" t="s">
        <v>8</v>
      </c>
      <c r="B212" s="3" t="s">
        <v>1295</v>
      </c>
      <c r="C212" t="s">
        <v>74</v>
      </c>
      <c r="D212" t="s">
        <v>643</v>
      </c>
      <c r="E212" t="str">
        <f t="shared" si="3"/>
        <v>net.bytebuddy.implementation.bytecode.constant.DefaultValue</v>
      </c>
      <c r="F212" t="s">
        <v>644</v>
      </c>
      <c r="G212">
        <v>2195</v>
      </c>
      <c r="H212" s="3">
        <v>0</v>
      </c>
      <c r="I212" s="3">
        <f>VLOOKUP(E212,codex!$A$1:$B$358,2,0)</f>
        <v>0</v>
      </c>
    </row>
    <row r="213" spans="1:9" x14ac:dyDescent="0.25">
      <c r="A213" t="s">
        <v>8</v>
      </c>
      <c r="B213" s="3" t="s">
        <v>1295</v>
      </c>
      <c r="C213" t="s">
        <v>12</v>
      </c>
      <c r="D213" t="s">
        <v>165</v>
      </c>
      <c r="E213" t="str">
        <f t="shared" si="3"/>
        <v>net.bytebuddy.description.type.TypeList.Explicit</v>
      </c>
      <c r="F213" t="s">
        <v>645</v>
      </c>
      <c r="G213">
        <v>964</v>
      </c>
      <c r="H213" s="3">
        <v>0</v>
      </c>
      <c r="I213" s="3">
        <f>VLOOKUP(E213,codex!$A$1:$B$358,2,0)</f>
        <v>0</v>
      </c>
    </row>
    <row r="214" spans="1:9" x14ac:dyDescent="0.25">
      <c r="A214" t="s">
        <v>8</v>
      </c>
      <c r="B214" s="3" t="s">
        <v>1295</v>
      </c>
      <c r="C214" t="s">
        <v>9</v>
      </c>
      <c r="D214" t="s">
        <v>646</v>
      </c>
      <c r="E214" t="str">
        <f t="shared" si="3"/>
        <v>net.bytebuddy.dynamic.DynamicType.SimpleParameterAnnotationAdapter</v>
      </c>
      <c r="F214" t="s">
        <v>647</v>
      </c>
      <c r="G214">
        <v>790</v>
      </c>
      <c r="H214" s="3">
        <v>0</v>
      </c>
      <c r="I214" s="3">
        <f>VLOOKUP(E214,codex!$A$1:$B$358,2,0)</f>
        <v>0</v>
      </c>
    </row>
    <row r="215" spans="1:9" x14ac:dyDescent="0.25">
      <c r="A215" t="s">
        <v>8</v>
      </c>
      <c r="B215" s="3" t="s">
        <v>1295</v>
      </c>
      <c r="C215" t="s">
        <v>91</v>
      </c>
      <c r="D215" t="s">
        <v>648</v>
      </c>
      <c r="E215" t="str">
        <f t="shared" si="3"/>
        <v>net.bytebuddy.description.type.TypeDescription.ForLoadedExecutableParameterType</v>
      </c>
      <c r="F215" t="s">
        <v>649</v>
      </c>
      <c r="G215">
        <v>497</v>
      </c>
      <c r="H215" s="3">
        <v>0</v>
      </c>
      <c r="I215" s="3">
        <f>VLOOKUP(E215,codex!$A$1:$B$358,2,0)</f>
        <v>0</v>
      </c>
    </row>
    <row r="216" spans="1:9" x14ac:dyDescent="0.25">
      <c r="A216" t="s">
        <v>8</v>
      </c>
      <c r="B216" s="3" t="s">
        <v>1295</v>
      </c>
      <c r="C216" t="s">
        <v>91</v>
      </c>
      <c r="D216" t="s">
        <v>650</v>
      </c>
      <c r="E216" t="str">
        <f t="shared" si="3"/>
        <v>net.bytebuddy.description.type.TypeDescription.TypeVariableSubstitutor</v>
      </c>
      <c r="F216" t="s">
        <v>651</v>
      </c>
      <c r="G216">
        <v>658</v>
      </c>
      <c r="H216" s="3">
        <v>0</v>
      </c>
      <c r="I216" s="3">
        <f>VLOOKUP(E216,codex!$A$1:$B$358,2,0)</f>
        <v>0</v>
      </c>
    </row>
    <row r="217" spans="1:9" x14ac:dyDescent="0.25">
      <c r="A217" t="s">
        <v>8</v>
      </c>
      <c r="B217" s="3" t="s">
        <v>1295</v>
      </c>
      <c r="C217" t="s">
        <v>305</v>
      </c>
      <c r="D217" t="s">
        <v>652</v>
      </c>
      <c r="E217" t="str">
        <f t="shared" si="3"/>
        <v>net.bytebuddy.asm.TypeReferenceAdjustment.TypeReferenceClassVisitor</v>
      </c>
      <c r="F217" t="s">
        <v>653</v>
      </c>
      <c r="G217">
        <v>1154</v>
      </c>
      <c r="H217" s="3">
        <v>0</v>
      </c>
      <c r="I217" s="3">
        <f>VLOOKUP(E217,codex!$A$1:$B$358,2,0)</f>
        <v>0</v>
      </c>
    </row>
    <row r="218" spans="1:9" x14ac:dyDescent="0.25">
      <c r="A218" t="s">
        <v>14</v>
      </c>
      <c r="B218" s="3" t="s">
        <v>1295</v>
      </c>
      <c r="C218" t="s">
        <v>130</v>
      </c>
      <c r="D218" t="s">
        <v>654</v>
      </c>
      <c r="E218" t="str">
        <f t="shared" si="3"/>
        <v>org.apache.commons.io.comparator.AbstractFileComparator</v>
      </c>
      <c r="F218" t="s">
        <v>655</v>
      </c>
      <c r="G218">
        <v>248</v>
      </c>
      <c r="H218" s="3">
        <v>0</v>
      </c>
      <c r="I218" s="3">
        <f>VLOOKUP(E218,codex!$A$1:$B$358,2,0)</f>
        <v>0</v>
      </c>
    </row>
    <row r="219" spans="1:9" x14ac:dyDescent="0.25">
      <c r="A219" t="s">
        <v>8</v>
      </c>
      <c r="B219" s="3" t="s">
        <v>1295</v>
      </c>
      <c r="C219" t="s">
        <v>68</v>
      </c>
      <c r="D219" t="s">
        <v>656</v>
      </c>
      <c r="E219" t="str">
        <f t="shared" si="3"/>
        <v>net.bytebuddy.dynamic.scaffold.TypeWriter.ForRecord</v>
      </c>
      <c r="F219" t="s">
        <v>657</v>
      </c>
      <c r="G219">
        <v>1108</v>
      </c>
      <c r="H219" s="3">
        <v>0</v>
      </c>
      <c r="I219" s="3">
        <f>VLOOKUP(E219,codex!$A$1:$B$358,2,0)</f>
        <v>0</v>
      </c>
    </row>
    <row r="220" spans="1:9" x14ac:dyDescent="0.25">
      <c r="A220" t="s">
        <v>6</v>
      </c>
      <c r="B220" s="3" t="s">
        <v>1295</v>
      </c>
      <c r="C220" t="s">
        <v>658</v>
      </c>
      <c r="D220" t="s">
        <v>159</v>
      </c>
      <c r="E220" t="str">
        <f t="shared" si="3"/>
        <v>(default package).Issue300.B</v>
      </c>
      <c r="F220" t="s">
        <v>659</v>
      </c>
      <c r="G220">
        <v>244</v>
      </c>
      <c r="H220" s="3">
        <v>0</v>
      </c>
      <c r="I220" s="3">
        <f>VLOOKUP(E220,codex!$A$1:$B$358,2,0)</f>
        <v>0</v>
      </c>
    </row>
    <row r="221" spans="1:9" x14ac:dyDescent="0.25">
      <c r="A221" t="s">
        <v>8</v>
      </c>
      <c r="B221" s="3" t="s">
        <v>1295</v>
      </c>
      <c r="C221" t="s">
        <v>660</v>
      </c>
      <c r="D221" t="s">
        <v>69</v>
      </c>
      <c r="E221" t="str">
        <f t="shared" si="3"/>
        <v>net.bytebuddy.utility.AsmClassReader.Default</v>
      </c>
      <c r="F221" t="s">
        <v>661</v>
      </c>
      <c r="G221">
        <v>906</v>
      </c>
      <c r="H221" s="3">
        <v>0</v>
      </c>
      <c r="I221" s="3">
        <f>VLOOKUP(E221,codex!$A$1:$B$358,2,0)</f>
        <v>1</v>
      </c>
    </row>
    <row r="222" spans="1:9" x14ac:dyDescent="0.25">
      <c r="A222" t="s">
        <v>6</v>
      </c>
      <c r="B222" s="3" t="s">
        <v>1295</v>
      </c>
      <c r="C222" t="s">
        <v>662</v>
      </c>
      <c r="D222" t="s">
        <v>663</v>
      </c>
      <c r="E222" t="str">
        <f t="shared" si="3"/>
        <v>a.RefClass2</v>
      </c>
      <c r="F222" t="s">
        <v>664</v>
      </c>
      <c r="G222">
        <v>243</v>
      </c>
      <c r="H222" s="3">
        <v>0</v>
      </c>
      <c r="I222" s="3">
        <f>VLOOKUP(E222,codex!$A$1:$B$358,2,0)</f>
        <v>0</v>
      </c>
    </row>
    <row r="223" spans="1:9" x14ac:dyDescent="0.25">
      <c r="A223" t="s">
        <v>6</v>
      </c>
      <c r="B223" s="3" t="s">
        <v>1295</v>
      </c>
      <c r="C223" t="s">
        <v>141</v>
      </c>
      <c r="D223" t="s">
        <v>665</v>
      </c>
      <c r="E223" t="str">
        <f t="shared" si="3"/>
        <v>com.github.javaparser.resolution.Solver</v>
      </c>
      <c r="F223" t="s">
        <v>666</v>
      </c>
      <c r="G223">
        <v>3151</v>
      </c>
      <c r="H223" s="3">
        <v>0</v>
      </c>
      <c r="I223" s="3">
        <f>VLOOKUP(E223,codex!$A$1:$B$358,2,0)</f>
        <v>0</v>
      </c>
    </row>
    <row r="224" spans="1:9" x14ac:dyDescent="0.25">
      <c r="A224" t="s">
        <v>6</v>
      </c>
      <c r="B224" s="3" t="s">
        <v>1295</v>
      </c>
      <c r="C224" t="s">
        <v>134</v>
      </c>
      <c r="D224" t="s">
        <v>135</v>
      </c>
      <c r="E224" t="str">
        <f t="shared" si="3"/>
        <v>issue241.TypeWithMemberType.MemberInterface</v>
      </c>
      <c r="F224" t="s">
        <v>667</v>
      </c>
      <c r="G224">
        <v>247</v>
      </c>
      <c r="H224" s="3">
        <v>0</v>
      </c>
      <c r="I224" s="3">
        <f>VLOOKUP(E224,codex!$A$1:$B$358,2,0)</f>
        <v>0</v>
      </c>
    </row>
    <row r="225" spans="1:9" x14ac:dyDescent="0.25">
      <c r="A225" t="s">
        <v>6</v>
      </c>
      <c r="B225" s="3" t="s">
        <v>1295</v>
      </c>
      <c r="C225" t="s">
        <v>158</v>
      </c>
      <c r="D225" t="s">
        <v>668</v>
      </c>
      <c r="E225" t="str">
        <f t="shared" si="3"/>
        <v>foo.Foo</v>
      </c>
      <c r="F225" t="s">
        <v>669</v>
      </c>
      <c r="G225">
        <v>274</v>
      </c>
      <c r="H225" s="3">
        <v>0</v>
      </c>
      <c r="I225" s="3">
        <f>VLOOKUP(E225,codex!$A$1:$B$358,2,0)</f>
        <v>0</v>
      </c>
    </row>
    <row r="226" spans="1:9" x14ac:dyDescent="0.25">
      <c r="A226" t="s">
        <v>6</v>
      </c>
      <c r="B226" s="3" t="s">
        <v>1295</v>
      </c>
      <c r="C226" t="s">
        <v>586</v>
      </c>
      <c r="D226" t="s">
        <v>670</v>
      </c>
      <c r="E226" t="str">
        <f t="shared" si="3"/>
        <v>com.github.javaparser.resolution.types.ResolvedWildcard</v>
      </c>
      <c r="F226" t="s">
        <v>671</v>
      </c>
      <c r="G226">
        <v>3231</v>
      </c>
      <c r="H226" s="3">
        <v>0</v>
      </c>
      <c r="I226" s="3">
        <f>VLOOKUP(E226,codex!$A$1:$B$358,2,0)</f>
        <v>0</v>
      </c>
    </row>
    <row r="227" spans="1:9" x14ac:dyDescent="0.25">
      <c r="A227" t="s">
        <v>6</v>
      </c>
      <c r="B227" s="3" t="s">
        <v>1295</v>
      </c>
      <c r="C227" t="s">
        <v>50</v>
      </c>
      <c r="D227" t="s">
        <v>672</v>
      </c>
      <c r="E227" t="str">
        <f t="shared" si="3"/>
        <v>com.github.javaparser.utils.Log</v>
      </c>
      <c r="F227" t="s">
        <v>673</v>
      </c>
      <c r="G227">
        <v>501</v>
      </c>
      <c r="H227" s="3">
        <v>0</v>
      </c>
      <c r="I227" s="3">
        <f>VLOOKUP(E227,codex!$A$1:$B$358,2,0)</f>
        <v>0</v>
      </c>
    </row>
    <row r="228" spans="1:9" x14ac:dyDescent="0.25">
      <c r="A228" t="s">
        <v>6</v>
      </c>
      <c r="B228" s="3" t="s">
        <v>1295</v>
      </c>
      <c r="C228" t="s">
        <v>674</v>
      </c>
      <c r="D228" t="s">
        <v>675</v>
      </c>
      <c r="E228" t="str">
        <f t="shared" si="3"/>
        <v>com.github.javaparser.symbolsolver.javaparsermodel.declarators.TypePatternSymbolDeclarator</v>
      </c>
      <c r="F228" t="s">
        <v>676</v>
      </c>
      <c r="G228">
        <v>775</v>
      </c>
      <c r="H228" s="3">
        <v>0</v>
      </c>
      <c r="I228" s="3">
        <f>VLOOKUP(E228,codex!$A$1:$B$358,2,0)</f>
        <v>0</v>
      </c>
    </row>
    <row r="229" spans="1:9" x14ac:dyDescent="0.25">
      <c r="A229" t="s">
        <v>6</v>
      </c>
      <c r="B229" s="3" t="s">
        <v>1295</v>
      </c>
      <c r="C229" t="s">
        <v>70</v>
      </c>
      <c r="D229" t="s">
        <v>677</v>
      </c>
      <c r="E229" t="str">
        <f t="shared" si="3"/>
        <v>com.github.javaparser.metamodel.BinaryExprMetaModel</v>
      </c>
      <c r="F229" t="s">
        <v>678</v>
      </c>
      <c r="G229">
        <v>2240</v>
      </c>
      <c r="H229" s="3">
        <v>0</v>
      </c>
      <c r="I229" s="3">
        <f>VLOOKUP(E229,codex!$A$1:$B$358,2,0)</f>
        <v>0</v>
      </c>
    </row>
    <row r="230" spans="1:9" x14ac:dyDescent="0.25">
      <c r="A230" t="s">
        <v>6</v>
      </c>
      <c r="B230" s="3" t="s">
        <v>1295</v>
      </c>
      <c r="C230" t="s">
        <v>152</v>
      </c>
      <c r="D230" t="s">
        <v>679</v>
      </c>
      <c r="E230" t="str">
        <f t="shared" si="3"/>
        <v>com.github.javaparser.serialization.JavaParserJsonSerializer.JsonNode</v>
      </c>
      <c r="F230" t="s">
        <v>680</v>
      </c>
      <c r="G230">
        <v>2184</v>
      </c>
      <c r="H230" s="3">
        <v>0</v>
      </c>
      <c r="I230" s="3">
        <f>VLOOKUP(E230,codex!$A$1:$B$358,2,0)</f>
        <v>0</v>
      </c>
    </row>
    <row r="231" spans="1:9" x14ac:dyDescent="0.25">
      <c r="A231" t="s">
        <v>18</v>
      </c>
      <c r="B231" s="3" t="s">
        <v>1295</v>
      </c>
      <c r="C231" t="s">
        <v>344</v>
      </c>
      <c r="D231" t="s">
        <v>681</v>
      </c>
      <c r="E231" t="str">
        <f t="shared" si="3"/>
        <v>com.google.zxing.client.android.camera.CameraManager</v>
      </c>
      <c r="F231" t="s">
        <v>682</v>
      </c>
      <c r="G231">
        <v>1132</v>
      </c>
      <c r="H231" s="3">
        <v>0</v>
      </c>
      <c r="I231" s="3">
        <f>VLOOKUP(E231,codex!$A$1:$B$358,2,0)</f>
        <v>1</v>
      </c>
    </row>
    <row r="232" spans="1:9" x14ac:dyDescent="0.25">
      <c r="A232" t="s">
        <v>8</v>
      </c>
      <c r="B232" s="3" t="s">
        <v>1295</v>
      </c>
      <c r="C232" t="s">
        <v>683</v>
      </c>
      <c r="D232" t="s">
        <v>684</v>
      </c>
      <c r="E232" t="str">
        <f t="shared" si="3"/>
        <v>net.bytebuddy.implementation.FixedValue.ForOriginType</v>
      </c>
      <c r="F232" t="s">
        <v>685</v>
      </c>
      <c r="G232">
        <v>1096</v>
      </c>
      <c r="H232" s="3">
        <v>0</v>
      </c>
      <c r="I232" s="3">
        <f>VLOOKUP(E232,codex!$A$1:$B$358,2,0)</f>
        <v>0</v>
      </c>
    </row>
    <row r="233" spans="1:9" x14ac:dyDescent="0.25">
      <c r="A233" t="s">
        <v>53</v>
      </c>
      <c r="B233" s="3" t="s">
        <v>1295</v>
      </c>
      <c r="C233" t="s">
        <v>124</v>
      </c>
      <c r="D233" t="s">
        <v>686</v>
      </c>
      <c r="E233" t="str">
        <f t="shared" si="3"/>
        <v>org.jsoup.select.Evaluator.IndexEquals</v>
      </c>
      <c r="F233" t="s">
        <v>687</v>
      </c>
      <c r="G233">
        <v>245</v>
      </c>
      <c r="H233" s="3">
        <v>0</v>
      </c>
      <c r="I233" s="3">
        <f>VLOOKUP(E233,codex!$A$1:$B$358,2,0)</f>
        <v>0</v>
      </c>
    </row>
    <row r="234" spans="1:9" x14ac:dyDescent="0.25">
      <c r="A234" t="s">
        <v>8</v>
      </c>
      <c r="B234" s="3" t="s">
        <v>1295</v>
      </c>
      <c r="C234" t="s">
        <v>73</v>
      </c>
      <c r="D234" t="s">
        <v>17</v>
      </c>
      <c r="E234" t="str">
        <f t="shared" si="3"/>
        <v>net.bytebuddy.dynamic.ClassFileLocator.Compound</v>
      </c>
      <c r="F234" t="s">
        <v>688</v>
      </c>
      <c r="G234">
        <v>262</v>
      </c>
      <c r="H234" s="3">
        <v>0</v>
      </c>
      <c r="I234" s="3">
        <f>VLOOKUP(E234,codex!$A$1:$B$358,2,0)</f>
        <v>0</v>
      </c>
    </row>
    <row r="235" spans="1:9" x14ac:dyDescent="0.25">
      <c r="A235" t="s">
        <v>8</v>
      </c>
      <c r="B235" s="3" t="s">
        <v>1295</v>
      </c>
      <c r="C235" t="s">
        <v>272</v>
      </c>
      <c r="D235" t="s">
        <v>104</v>
      </c>
      <c r="E235" t="str">
        <f t="shared" si="3"/>
        <v>net.bytebuddy.dynamic.loading.ByteArrayClassLoader.CreationAction</v>
      </c>
      <c r="F235" t="s">
        <v>689</v>
      </c>
      <c r="G235">
        <v>608</v>
      </c>
      <c r="H235" s="3">
        <v>0</v>
      </c>
      <c r="I235" s="3">
        <f>VLOOKUP(E235,codex!$A$1:$B$358,2,0)</f>
        <v>0</v>
      </c>
    </row>
    <row r="236" spans="1:9" x14ac:dyDescent="0.25">
      <c r="A236" t="s">
        <v>6</v>
      </c>
      <c r="B236" s="3" t="s">
        <v>1295</v>
      </c>
      <c r="C236" t="s">
        <v>690</v>
      </c>
      <c r="D236" t="s">
        <v>691</v>
      </c>
      <c r="E236" t="str">
        <f t="shared" si="3"/>
        <v>com.github.javaparser.generator.core.other.BndGenerator</v>
      </c>
      <c r="F236" t="s">
        <v>692</v>
      </c>
      <c r="G236">
        <v>400</v>
      </c>
      <c r="H236" s="3">
        <v>0</v>
      </c>
      <c r="I236" s="3">
        <f>VLOOKUP(E236,codex!$A$1:$B$358,2,0)</f>
        <v>0</v>
      </c>
    </row>
    <row r="237" spans="1:9" x14ac:dyDescent="0.25">
      <c r="A237" t="s">
        <v>8</v>
      </c>
      <c r="B237" s="3" t="s">
        <v>1295</v>
      </c>
      <c r="C237" t="s">
        <v>693</v>
      </c>
      <c r="D237" t="s">
        <v>694</v>
      </c>
      <c r="E237" t="str">
        <f t="shared" si="3"/>
        <v>net.bytebuddy.dynamic.loading.MultipleParentClassLoader.CompoundEnumeration</v>
      </c>
      <c r="F237" t="s">
        <v>695</v>
      </c>
      <c r="G237">
        <v>251</v>
      </c>
      <c r="H237" s="3">
        <v>0</v>
      </c>
      <c r="I237" s="3">
        <f>VLOOKUP(E237,codex!$A$1:$B$358,2,0)</f>
        <v>0</v>
      </c>
    </row>
    <row r="238" spans="1:9" x14ac:dyDescent="0.25">
      <c r="A238" t="s">
        <v>34</v>
      </c>
      <c r="B238" s="3" t="s">
        <v>1295</v>
      </c>
      <c r="C238" t="s">
        <v>38</v>
      </c>
      <c r="D238" t="s">
        <v>696</v>
      </c>
      <c r="E238" t="str">
        <f t="shared" si="3"/>
        <v>org.apache.commons.lang3.concurrent.MultiBackgroundInitializer</v>
      </c>
      <c r="F238" t="s">
        <v>697</v>
      </c>
      <c r="G238">
        <v>455</v>
      </c>
      <c r="H238" s="3">
        <v>0</v>
      </c>
      <c r="I238" s="3">
        <f>VLOOKUP(E238,codex!$A$1:$B$358,2,0)</f>
        <v>0</v>
      </c>
    </row>
    <row r="239" spans="1:9" x14ac:dyDescent="0.25">
      <c r="A239" t="s">
        <v>8</v>
      </c>
      <c r="B239" s="3" t="s">
        <v>1295</v>
      </c>
      <c r="C239" t="s">
        <v>96</v>
      </c>
      <c r="D239" t="s">
        <v>698</v>
      </c>
      <c r="E239" t="str">
        <f t="shared" si="3"/>
        <v>net.bytebuddy.build.gradle.android.ByteBuddyAndroidPlugin.ByteBuddyTransformationConfiguration</v>
      </c>
      <c r="F239" t="s">
        <v>699</v>
      </c>
      <c r="G239">
        <v>291</v>
      </c>
      <c r="H239" s="3">
        <v>0</v>
      </c>
      <c r="I239" s="3">
        <f>VLOOKUP(E239,codex!$A$1:$B$358,2,0)</f>
        <v>0</v>
      </c>
    </row>
    <row r="240" spans="1:9" x14ac:dyDescent="0.25">
      <c r="A240" t="s">
        <v>6</v>
      </c>
      <c r="B240" s="3" t="s">
        <v>1295</v>
      </c>
      <c r="C240" t="s">
        <v>55</v>
      </c>
      <c r="D240" t="s">
        <v>56</v>
      </c>
      <c r="E240" t="str">
        <f t="shared" si="3"/>
        <v>com.github.javaparser.resolution.logic.ConstructorResolutionLogic</v>
      </c>
      <c r="F240" t="s">
        <v>700</v>
      </c>
      <c r="G240">
        <v>1970</v>
      </c>
      <c r="H240" s="3">
        <v>0</v>
      </c>
      <c r="I240" s="3">
        <f>VLOOKUP(E240,codex!$A$1:$B$358,2,0)</f>
        <v>0</v>
      </c>
    </row>
    <row r="241" spans="1:9" x14ac:dyDescent="0.25">
      <c r="A241" t="s">
        <v>8</v>
      </c>
      <c r="B241" s="3" t="s">
        <v>1295</v>
      </c>
      <c r="C241" t="s">
        <v>701</v>
      </c>
      <c r="D241" t="s">
        <v>40</v>
      </c>
      <c r="E241" t="str">
        <f t="shared" si="3"/>
        <v>net.bytebuddy.build.RenamingPlugin.NoOp</v>
      </c>
      <c r="F241" t="s">
        <v>702</v>
      </c>
      <c r="G241">
        <v>248</v>
      </c>
      <c r="H241" s="3">
        <v>0</v>
      </c>
      <c r="I241" s="3">
        <f>VLOOKUP(E241,codex!$A$1:$B$358,2,0)</f>
        <v>0</v>
      </c>
    </row>
    <row r="242" spans="1:9" x14ac:dyDescent="0.25">
      <c r="A242" t="s">
        <v>8</v>
      </c>
      <c r="B242" s="3" t="s">
        <v>1295</v>
      </c>
      <c r="C242" t="s">
        <v>205</v>
      </c>
      <c r="D242" t="s">
        <v>703</v>
      </c>
      <c r="E242" t="str">
        <f t="shared" si="3"/>
        <v>net.bytebuddy.android.AndroidClassLoadingStrategy.Wrapping</v>
      </c>
      <c r="F242" t="s">
        <v>704</v>
      </c>
      <c r="G242">
        <v>250</v>
      </c>
      <c r="H242" s="3">
        <v>0</v>
      </c>
      <c r="I242" s="3">
        <f>VLOOKUP(E242,codex!$A$1:$B$358,2,0)</f>
        <v>0</v>
      </c>
    </row>
    <row r="243" spans="1:9" x14ac:dyDescent="0.25">
      <c r="A243" t="s">
        <v>34</v>
      </c>
      <c r="B243" s="3" t="s">
        <v>1295</v>
      </c>
      <c r="C243" t="s">
        <v>154</v>
      </c>
      <c r="D243" t="s">
        <v>705</v>
      </c>
      <c r="E243" t="str">
        <f t="shared" si="3"/>
        <v>org.apache.commons.lang3.function.FailableObjLongConsumer</v>
      </c>
      <c r="F243" t="s">
        <v>706</v>
      </c>
      <c r="G243">
        <v>250</v>
      </c>
      <c r="H243" s="3">
        <v>0</v>
      </c>
      <c r="I243" s="3">
        <f>VLOOKUP(E243,codex!$A$1:$B$358,2,0)</f>
        <v>0</v>
      </c>
    </row>
    <row r="244" spans="1:9" x14ac:dyDescent="0.25">
      <c r="A244" t="s">
        <v>6</v>
      </c>
      <c r="B244" s="3" t="s">
        <v>1295</v>
      </c>
      <c r="C244" t="s">
        <v>347</v>
      </c>
      <c r="D244" t="s">
        <v>707</v>
      </c>
      <c r="E244" t="str">
        <f t="shared" si="3"/>
        <v>com.github.javaparser.ast.observer.PropagatingAstObserver</v>
      </c>
      <c r="F244" t="s">
        <v>708</v>
      </c>
      <c r="G244">
        <v>1197</v>
      </c>
      <c r="H244" s="3">
        <v>0</v>
      </c>
      <c r="I244" s="3">
        <f>VLOOKUP(E244,codex!$A$1:$B$358,2,0)</f>
        <v>0</v>
      </c>
    </row>
    <row r="245" spans="1:9" x14ac:dyDescent="0.25">
      <c r="A245" t="s">
        <v>6</v>
      </c>
      <c r="B245" s="3" t="s">
        <v>1295</v>
      </c>
      <c r="C245" t="s">
        <v>150</v>
      </c>
      <c r="D245" t="s">
        <v>709</v>
      </c>
      <c r="E245" t="str">
        <f t="shared" si="3"/>
        <v>com.github.javaparser.printer.concretesyntaxmodel.CsmComment</v>
      </c>
      <c r="F245" t="s">
        <v>710</v>
      </c>
      <c r="G245">
        <v>966</v>
      </c>
      <c r="H245" s="3">
        <v>0</v>
      </c>
      <c r="I245" s="3">
        <f>VLOOKUP(E245,codex!$A$1:$B$358,2,0)</f>
        <v>0</v>
      </c>
    </row>
    <row r="246" spans="1:9" x14ac:dyDescent="0.25">
      <c r="A246" t="s">
        <v>8</v>
      </c>
      <c r="B246" s="3" t="s">
        <v>1295</v>
      </c>
      <c r="C246" t="s">
        <v>711</v>
      </c>
      <c r="D246" t="s">
        <v>712</v>
      </c>
      <c r="E246" t="str">
        <f t="shared" si="3"/>
        <v>net.bytebuddy.implementation.InvocationHandlerAdapter.AssignerConfigurable</v>
      </c>
      <c r="F246" t="s">
        <v>713</v>
      </c>
      <c r="G246">
        <v>941</v>
      </c>
      <c r="H246" s="3">
        <v>0</v>
      </c>
      <c r="I246" s="3">
        <f>VLOOKUP(E246,codex!$A$1:$B$358,2,0)</f>
        <v>0</v>
      </c>
    </row>
    <row r="247" spans="1:9" x14ac:dyDescent="0.25">
      <c r="A247" t="s">
        <v>6</v>
      </c>
      <c r="B247" s="3" t="s">
        <v>1295</v>
      </c>
      <c r="C247" t="s">
        <v>714</v>
      </c>
      <c r="D247" t="s">
        <v>715</v>
      </c>
      <c r="E247" t="str">
        <f t="shared" si="3"/>
        <v>com.github.javaparser.symbolsolver.reflectionmodel.comparators.MethodComparator</v>
      </c>
      <c r="F247" t="s">
        <v>716</v>
      </c>
      <c r="G247">
        <v>1010</v>
      </c>
      <c r="H247" s="3">
        <v>0</v>
      </c>
      <c r="I247" s="3">
        <f>VLOOKUP(E247,codex!$A$1:$B$358,2,0)</f>
        <v>0</v>
      </c>
    </row>
    <row r="248" spans="1:9" x14ac:dyDescent="0.25">
      <c r="A248" t="s">
        <v>8</v>
      </c>
      <c r="B248" s="3" t="s">
        <v>1295</v>
      </c>
      <c r="C248" t="s">
        <v>74</v>
      </c>
      <c r="D248" t="s">
        <v>717</v>
      </c>
      <c r="E248" t="str">
        <f t="shared" si="3"/>
        <v>net.bytebuddy.implementation.bytecode.constant.LongConstant</v>
      </c>
      <c r="F248" t="s">
        <v>718</v>
      </c>
      <c r="G248">
        <v>977</v>
      </c>
      <c r="H248" s="3">
        <v>0</v>
      </c>
      <c r="I248" s="3">
        <f>VLOOKUP(E248,codex!$A$1:$B$358,2,0)</f>
        <v>0</v>
      </c>
    </row>
    <row r="249" spans="1:9" x14ac:dyDescent="0.25">
      <c r="A249" t="s">
        <v>18</v>
      </c>
      <c r="B249" s="3" t="s">
        <v>1295</v>
      </c>
      <c r="C249" t="s">
        <v>83</v>
      </c>
      <c r="D249" t="s">
        <v>719</v>
      </c>
      <c r="E249" t="str">
        <f t="shared" si="3"/>
        <v>com.google.zxing.pdf417.decoder.BoundingBox</v>
      </c>
      <c r="F249" t="s">
        <v>720</v>
      </c>
      <c r="G249">
        <v>911</v>
      </c>
      <c r="H249" s="3">
        <v>0</v>
      </c>
      <c r="I249" s="3">
        <f>VLOOKUP(E249,codex!$A$1:$B$358,2,0)</f>
        <v>0</v>
      </c>
    </row>
    <row r="250" spans="1:9" x14ac:dyDescent="0.25">
      <c r="A250" t="s">
        <v>6</v>
      </c>
      <c r="B250" s="3" t="s">
        <v>1295</v>
      </c>
      <c r="C250" t="s">
        <v>98</v>
      </c>
      <c r="D250" t="s">
        <v>721</v>
      </c>
      <c r="E250" t="str">
        <f t="shared" si="3"/>
        <v>com.github.javaparser.javasymbolsolver.javassist.symbols.main.jar.ConcreteEnum</v>
      </c>
      <c r="F250" t="s">
        <v>722</v>
      </c>
      <c r="G250">
        <v>256</v>
      </c>
      <c r="H250" s="3">
        <v>0</v>
      </c>
      <c r="I250" s="3">
        <f>VLOOKUP(E250,codex!$A$1:$B$358,2,0)</f>
        <v>0</v>
      </c>
    </row>
    <row r="251" spans="1:9" x14ac:dyDescent="0.25">
      <c r="A251" t="s">
        <v>18</v>
      </c>
      <c r="B251" s="3" t="s">
        <v>1295</v>
      </c>
      <c r="C251" t="s">
        <v>86</v>
      </c>
      <c r="D251" t="s">
        <v>87</v>
      </c>
      <c r="E251" t="str">
        <f t="shared" si="3"/>
        <v>com.google.zxing.common.reedsolomon.ReedSolomonEncoder</v>
      </c>
      <c r="F251" t="s">
        <v>723</v>
      </c>
      <c r="G251">
        <v>495</v>
      </c>
      <c r="H251" s="3">
        <v>0</v>
      </c>
      <c r="I251" s="3">
        <f>VLOOKUP(E251,codex!$A$1:$B$358,2,0)</f>
        <v>0</v>
      </c>
    </row>
    <row r="252" spans="1:9" x14ac:dyDescent="0.25">
      <c r="A252" t="s">
        <v>8</v>
      </c>
      <c r="B252" s="3" t="s">
        <v>1295</v>
      </c>
      <c r="C252" t="s">
        <v>724</v>
      </c>
      <c r="D252" t="s">
        <v>725</v>
      </c>
      <c r="E252" t="str">
        <f t="shared" si="3"/>
        <v>net.bytebuddy.dynamic.scaffold.InstrumentedType.WithFlexibleName</v>
      </c>
      <c r="F252" t="s">
        <v>726</v>
      </c>
      <c r="G252">
        <v>1039</v>
      </c>
      <c r="H252" s="3">
        <v>0</v>
      </c>
      <c r="I252" s="3">
        <f>VLOOKUP(E252,codex!$A$1:$B$358,2,0)</f>
        <v>0</v>
      </c>
    </row>
    <row r="253" spans="1:9" x14ac:dyDescent="0.25">
      <c r="A253" t="s">
        <v>8</v>
      </c>
      <c r="B253" s="3" t="s">
        <v>1295</v>
      </c>
      <c r="C253" t="s">
        <v>157</v>
      </c>
      <c r="D253" t="s">
        <v>727</v>
      </c>
      <c r="E253" t="str">
        <f t="shared" si="3"/>
        <v>net.bytebuddy.dynamic.loading.ClassInjector.Lookup</v>
      </c>
      <c r="F253" t="s">
        <v>728</v>
      </c>
      <c r="G253">
        <v>815</v>
      </c>
      <c r="H253" s="3">
        <v>0</v>
      </c>
      <c r="I253" s="3">
        <f>VLOOKUP(E253,codex!$A$1:$B$358,2,0)</f>
        <v>0</v>
      </c>
    </row>
    <row r="254" spans="1:9" x14ac:dyDescent="0.25">
      <c r="A254" t="s">
        <v>20</v>
      </c>
      <c r="B254" s="3" t="s">
        <v>1295</v>
      </c>
      <c r="C254" t="s">
        <v>729</v>
      </c>
      <c r="D254" t="s">
        <v>730</v>
      </c>
      <c r="E254" t="str">
        <f t="shared" si="3"/>
        <v>org.adoptopenjdk.jitwatch.ui.sandbox.VMLanguageConfigStage</v>
      </c>
      <c r="F254" t="s">
        <v>731</v>
      </c>
      <c r="G254">
        <v>672</v>
      </c>
      <c r="H254" s="3">
        <v>0</v>
      </c>
      <c r="I254" s="3">
        <f>VLOOKUP(E254,codex!$A$1:$B$358,2,0)</f>
        <v>0</v>
      </c>
    </row>
    <row r="255" spans="1:9" x14ac:dyDescent="0.25">
      <c r="A255" t="s">
        <v>18</v>
      </c>
      <c r="B255" s="3" t="s">
        <v>1295</v>
      </c>
      <c r="C255" t="s">
        <v>37</v>
      </c>
      <c r="D255" t="s">
        <v>732</v>
      </c>
      <c r="E255" t="str">
        <f t="shared" si="3"/>
        <v>com.google.zxing.client.android.AmbientLightManager</v>
      </c>
      <c r="F255" t="s">
        <v>733</v>
      </c>
      <c r="G255">
        <v>722</v>
      </c>
      <c r="H255" s="3">
        <v>0</v>
      </c>
      <c r="I255" s="3">
        <f>VLOOKUP(E255,codex!$A$1:$B$358,2,0)</f>
        <v>0</v>
      </c>
    </row>
    <row r="256" spans="1:9" x14ac:dyDescent="0.25">
      <c r="A256" t="s">
        <v>20</v>
      </c>
      <c r="B256" s="3" t="s">
        <v>1295</v>
      </c>
      <c r="C256" t="s">
        <v>734</v>
      </c>
      <c r="D256" t="s">
        <v>735</v>
      </c>
      <c r="E256" t="str">
        <f t="shared" si="3"/>
        <v>org.adoptopenjdk.jitwatch.model.bytecode.BCParamConstant</v>
      </c>
      <c r="F256" t="s">
        <v>736</v>
      </c>
      <c r="G256">
        <v>610</v>
      </c>
      <c r="H256" s="3">
        <v>0</v>
      </c>
      <c r="I256" s="3">
        <f>VLOOKUP(E256,codex!$A$1:$B$358,2,0)</f>
        <v>0</v>
      </c>
    </row>
    <row r="257" spans="1:9" x14ac:dyDescent="0.25">
      <c r="A257" t="s">
        <v>6</v>
      </c>
      <c r="B257" s="3" t="s">
        <v>1295</v>
      </c>
      <c r="C257" t="s">
        <v>737</v>
      </c>
      <c r="D257" t="s">
        <v>738</v>
      </c>
      <c r="E257" t="str">
        <f t="shared" si="3"/>
        <v>main.GrandParent</v>
      </c>
      <c r="F257" t="s">
        <v>739</v>
      </c>
      <c r="G257">
        <v>242</v>
      </c>
      <c r="H257" s="3">
        <v>0</v>
      </c>
      <c r="I257" s="3">
        <f>VLOOKUP(E257,codex!$A$1:$B$358,2,0)</f>
        <v>0</v>
      </c>
    </row>
    <row r="258" spans="1:9" x14ac:dyDescent="0.25">
      <c r="A258" t="s">
        <v>31</v>
      </c>
      <c r="B258" s="3" t="s">
        <v>1295</v>
      </c>
      <c r="C258" t="s">
        <v>428</v>
      </c>
      <c r="D258" t="s">
        <v>740</v>
      </c>
      <c r="E258" t="str">
        <f t="shared" si="3"/>
        <v>com.google.gson.internal.bind.ReflectiveTypeAdapterFactory.RecordAdapter</v>
      </c>
      <c r="F258" t="s">
        <v>741</v>
      </c>
      <c r="G258">
        <v>251</v>
      </c>
      <c r="H258" s="3">
        <v>0</v>
      </c>
      <c r="I258" s="3">
        <f>VLOOKUP(E258,codex!$A$1:$B$358,2,0)</f>
        <v>0</v>
      </c>
    </row>
    <row r="259" spans="1:9" x14ac:dyDescent="0.25">
      <c r="A259" t="s">
        <v>8</v>
      </c>
      <c r="B259" s="3" t="s">
        <v>1295</v>
      </c>
      <c r="C259" t="s">
        <v>205</v>
      </c>
      <c r="D259" t="s">
        <v>742</v>
      </c>
      <c r="E259" t="str">
        <f t="shared" ref="E259:E322" si="4">C259&amp;"."&amp;D259</f>
        <v>net.bytebuddy.android.AndroidClassLoadingStrategy.ForAndroidPVm</v>
      </c>
      <c r="F259" t="s">
        <v>743</v>
      </c>
      <c r="G259">
        <v>251</v>
      </c>
      <c r="H259" s="3">
        <v>0</v>
      </c>
      <c r="I259" s="3">
        <f>VLOOKUP(E259,codex!$A$1:$B$358,2,0)</f>
        <v>0</v>
      </c>
    </row>
    <row r="260" spans="1:9" x14ac:dyDescent="0.25">
      <c r="A260" t="s">
        <v>8</v>
      </c>
      <c r="B260" s="3" t="s">
        <v>1295</v>
      </c>
      <c r="C260" t="s">
        <v>157</v>
      </c>
      <c r="D260" t="s">
        <v>744</v>
      </c>
      <c r="E260" t="str">
        <f t="shared" si="4"/>
        <v>net.bytebuddy.dynamic.loading.ClassInjector.UsingUnsafe</v>
      </c>
      <c r="F260" t="s">
        <v>745</v>
      </c>
      <c r="G260">
        <v>1573</v>
      </c>
      <c r="H260" s="3">
        <v>0</v>
      </c>
      <c r="I260" s="3">
        <f>VLOOKUP(E260,codex!$A$1:$B$358,2,0)</f>
        <v>0</v>
      </c>
    </row>
    <row r="261" spans="1:9" x14ac:dyDescent="0.25">
      <c r="A261" t="s">
        <v>6</v>
      </c>
      <c r="B261" s="3" t="s">
        <v>1295</v>
      </c>
      <c r="C261" t="s">
        <v>70</v>
      </c>
      <c r="D261" t="s">
        <v>71</v>
      </c>
      <c r="E261" t="str">
        <f t="shared" si="4"/>
        <v>com.github.javaparser.metamodel.StringLiteralExprMetaModel</v>
      </c>
      <c r="F261" t="s">
        <v>746</v>
      </c>
      <c r="G261">
        <v>2123</v>
      </c>
      <c r="H261" s="3">
        <v>0</v>
      </c>
      <c r="I261" s="3">
        <f>VLOOKUP(E261,codex!$A$1:$B$358,2,0)</f>
        <v>0</v>
      </c>
    </row>
    <row r="262" spans="1:9" x14ac:dyDescent="0.25">
      <c r="A262" t="s">
        <v>18</v>
      </c>
      <c r="B262" s="3" t="s">
        <v>1295</v>
      </c>
      <c r="C262" t="s">
        <v>162</v>
      </c>
      <c r="D262" t="s">
        <v>747</v>
      </c>
      <c r="E262" t="str">
        <f t="shared" si="4"/>
        <v>com.google.zxing.aztec.encoder.Encoder</v>
      </c>
      <c r="F262" t="s">
        <v>748</v>
      </c>
      <c r="G262">
        <v>701</v>
      </c>
      <c r="H262" s="3">
        <v>0</v>
      </c>
      <c r="I262" s="3">
        <f>VLOOKUP(E262,codex!$A$1:$B$358,2,0)</f>
        <v>0</v>
      </c>
    </row>
    <row r="263" spans="1:9" x14ac:dyDescent="0.25">
      <c r="A263" t="s">
        <v>8</v>
      </c>
      <c r="B263" s="3" t="s">
        <v>1295</v>
      </c>
      <c r="C263" t="s">
        <v>287</v>
      </c>
      <c r="D263" t="s">
        <v>142</v>
      </c>
      <c r="E263" t="str">
        <f t="shared" si="4"/>
        <v>net.bytebuddy.implementation.bytecode.StackManipulation.Illegal</v>
      </c>
      <c r="F263" t="s">
        <v>749</v>
      </c>
      <c r="G263">
        <v>657</v>
      </c>
      <c r="H263" s="3">
        <v>0</v>
      </c>
      <c r="I263" s="3">
        <f>VLOOKUP(E263,codex!$A$1:$B$358,2,0)</f>
        <v>0</v>
      </c>
    </row>
    <row r="264" spans="1:9" x14ac:dyDescent="0.25">
      <c r="A264" t="s">
        <v>6</v>
      </c>
      <c r="B264" s="3" t="s">
        <v>1295</v>
      </c>
      <c r="C264" t="s">
        <v>750</v>
      </c>
      <c r="D264" t="s">
        <v>751</v>
      </c>
      <c r="E264" t="str">
        <f t="shared" si="4"/>
        <v>implements.duplicate.A.DuplicateTypeName</v>
      </c>
      <c r="F264" t="s">
        <v>752</v>
      </c>
      <c r="G264">
        <v>246</v>
      </c>
      <c r="H264" s="3">
        <v>0</v>
      </c>
      <c r="I264" s="3">
        <f>VLOOKUP(E264,codex!$A$1:$B$358,2,0)</f>
        <v>0</v>
      </c>
    </row>
    <row r="265" spans="1:9" x14ac:dyDescent="0.25">
      <c r="A265" t="s">
        <v>18</v>
      </c>
      <c r="B265" s="3" t="s">
        <v>1295</v>
      </c>
      <c r="C265" t="s">
        <v>753</v>
      </c>
      <c r="D265" t="s">
        <v>754</v>
      </c>
      <c r="E265" t="str">
        <f t="shared" si="4"/>
        <v>com.google.zxing.datamatrix.encoder.MinimalEncoder.Result</v>
      </c>
      <c r="F265" t="s">
        <v>755</v>
      </c>
      <c r="G265">
        <v>512</v>
      </c>
      <c r="H265" s="3">
        <v>0</v>
      </c>
      <c r="I265" s="3">
        <f>VLOOKUP(E265,codex!$A$1:$B$358,2,0)</f>
        <v>0</v>
      </c>
    </row>
    <row r="266" spans="1:9" x14ac:dyDescent="0.25">
      <c r="A266" t="s">
        <v>8</v>
      </c>
      <c r="B266" s="3" t="s">
        <v>1295</v>
      </c>
      <c r="C266" t="s">
        <v>89</v>
      </c>
      <c r="D266" t="s">
        <v>756</v>
      </c>
      <c r="E266" t="str">
        <f t="shared" si="4"/>
        <v>net.bytebuddy.implementation.Implementation.Composable</v>
      </c>
      <c r="F266" t="s">
        <v>757</v>
      </c>
      <c r="G266">
        <v>1166</v>
      </c>
      <c r="H266" s="3">
        <v>0</v>
      </c>
      <c r="I266" s="3">
        <f>VLOOKUP(E266,codex!$A$1:$B$358,2,0)</f>
        <v>0</v>
      </c>
    </row>
    <row r="267" spans="1:9" x14ac:dyDescent="0.25">
      <c r="A267" t="s">
        <v>8</v>
      </c>
      <c r="B267" s="3" t="s">
        <v>1295</v>
      </c>
      <c r="C267" t="s">
        <v>68</v>
      </c>
      <c r="D267" t="s">
        <v>758</v>
      </c>
      <c r="E267" t="str">
        <f t="shared" si="4"/>
        <v>net.bytebuddy.dynamic.scaffold.TypeWriter.WithoutBody</v>
      </c>
      <c r="F267" t="s">
        <v>759</v>
      </c>
      <c r="G267">
        <v>1327</v>
      </c>
      <c r="H267" s="3">
        <v>0</v>
      </c>
      <c r="I267" s="3">
        <f>VLOOKUP(E267,codex!$A$1:$B$358,2,0)</f>
        <v>0</v>
      </c>
    </row>
    <row r="268" spans="1:9" x14ac:dyDescent="0.25">
      <c r="A268" t="s">
        <v>20</v>
      </c>
      <c r="B268" s="3" t="s">
        <v>1295</v>
      </c>
      <c r="C268" t="s">
        <v>131</v>
      </c>
      <c r="D268" t="s">
        <v>132</v>
      </c>
      <c r="E268" t="str">
        <f t="shared" si="4"/>
        <v>(default package).PolymorphismTest.Quarter</v>
      </c>
      <c r="F268" t="s">
        <v>760</v>
      </c>
      <c r="G268">
        <v>247</v>
      </c>
      <c r="H268" s="3">
        <v>0</v>
      </c>
      <c r="I268" s="3">
        <f>VLOOKUP(E268,codex!$A$1:$B$358,2,0)</f>
        <v>0</v>
      </c>
    </row>
    <row r="269" spans="1:9" x14ac:dyDescent="0.25">
      <c r="A269" t="s">
        <v>6</v>
      </c>
      <c r="B269" s="3" t="s">
        <v>1295</v>
      </c>
      <c r="C269" t="s">
        <v>7</v>
      </c>
      <c r="D269" t="s">
        <v>761</v>
      </c>
      <c r="E269" t="str">
        <f t="shared" si="4"/>
        <v>com.github.javaparser.symbolsolver.javaparsermodel.contexts.VariableDeclaratorContext</v>
      </c>
      <c r="F269" t="s">
        <v>762</v>
      </c>
      <c r="G269">
        <v>932</v>
      </c>
      <c r="H269" s="3">
        <v>0</v>
      </c>
      <c r="I269" s="3">
        <f>VLOOKUP(E269,codex!$A$1:$B$358,2,0)</f>
        <v>0</v>
      </c>
    </row>
    <row r="270" spans="1:9" x14ac:dyDescent="0.25">
      <c r="A270" t="s">
        <v>53</v>
      </c>
      <c r="B270" s="3" t="s">
        <v>1295</v>
      </c>
      <c r="C270" t="s">
        <v>763</v>
      </c>
      <c r="D270" t="s">
        <v>764</v>
      </c>
      <c r="E270" t="str">
        <f t="shared" si="4"/>
        <v>org.jsoup.parser.Token.EndTag</v>
      </c>
      <c r="F270" t="s">
        <v>765</v>
      </c>
      <c r="G270">
        <v>382</v>
      </c>
      <c r="H270" s="3">
        <v>0</v>
      </c>
      <c r="I270" s="3">
        <f>VLOOKUP(E270,codex!$A$1:$B$358,2,0)</f>
        <v>0</v>
      </c>
    </row>
    <row r="271" spans="1:9" x14ac:dyDescent="0.25">
      <c r="A271" t="s">
        <v>57</v>
      </c>
      <c r="B271" s="3" t="s">
        <v>1295</v>
      </c>
      <c r="C271" t="s">
        <v>295</v>
      </c>
      <c r="D271" t="s">
        <v>766</v>
      </c>
      <c r="E271" t="str">
        <f t="shared" si="4"/>
        <v>com.google.googlejavaformat.java.JavaInputAstVisitor.AllowLeadingBlankLine</v>
      </c>
      <c r="F271" t="s">
        <v>767</v>
      </c>
      <c r="G271">
        <v>573</v>
      </c>
      <c r="H271" s="3">
        <v>0</v>
      </c>
      <c r="I271" s="3">
        <f>VLOOKUP(E271,codex!$A$1:$B$358,2,0)</f>
        <v>0</v>
      </c>
    </row>
    <row r="272" spans="1:9" x14ac:dyDescent="0.25">
      <c r="A272" t="s">
        <v>18</v>
      </c>
      <c r="B272" s="3" t="s">
        <v>1295</v>
      </c>
      <c r="C272" t="s">
        <v>768</v>
      </c>
      <c r="D272" t="s">
        <v>769</v>
      </c>
      <c r="E272" t="str">
        <f t="shared" si="4"/>
        <v>com.google.zxing.oned.rss.FinderPattern</v>
      </c>
      <c r="F272" t="s">
        <v>770</v>
      </c>
      <c r="G272">
        <v>802</v>
      </c>
      <c r="H272" s="3">
        <v>0</v>
      </c>
      <c r="I272" s="3">
        <f>VLOOKUP(E272,codex!$A$1:$B$358,2,0)</f>
        <v>0</v>
      </c>
    </row>
    <row r="273" spans="1:9" x14ac:dyDescent="0.25">
      <c r="A273" t="s">
        <v>20</v>
      </c>
      <c r="B273" s="3" t="s">
        <v>1295</v>
      </c>
      <c r="C273" t="s">
        <v>734</v>
      </c>
      <c r="D273" t="s">
        <v>771</v>
      </c>
      <c r="E273" t="str">
        <f t="shared" si="4"/>
        <v>org.adoptopenjdk.jitwatch.model.bytecode.UncommonTrap</v>
      </c>
      <c r="F273" t="s">
        <v>772</v>
      </c>
      <c r="G273">
        <v>704</v>
      </c>
      <c r="H273" s="3">
        <v>0</v>
      </c>
      <c r="I273" s="3">
        <f>VLOOKUP(E273,codex!$A$1:$B$358,2,0)</f>
        <v>0</v>
      </c>
    </row>
    <row r="274" spans="1:9" x14ac:dyDescent="0.25">
      <c r="A274" t="s">
        <v>20</v>
      </c>
      <c r="B274" s="3" t="s">
        <v>1295</v>
      </c>
      <c r="C274" t="s">
        <v>773</v>
      </c>
      <c r="D274" t="s">
        <v>774</v>
      </c>
      <c r="E274" t="str">
        <f t="shared" si="4"/>
        <v>org.adoptopenjdk.jitwatch.jvmlang.LanguageManager</v>
      </c>
      <c r="F274" t="s">
        <v>775</v>
      </c>
      <c r="G274">
        <v>2173</v>
      </c>
      <c r="H274" s="3">
        <v>0</v>
      </c>
      <c r="I274" s="3">
        <f>VLOOKUP(E274,codex!$A$1:$B$358,2,0)</f>
        <v>0</v>
      </c>
    </row>
    <row r="275" spans="1:9" x14ac:dyDescent="0.25">
      <c r="A275" t="s">
        <v>8</v>
      </c>
      <c r="B275" s="3" t="s">
        <v>1295</v>
      </c>
      <c r="C275" t="s">
        <v>88</v>
      </c>
      <c r="D275" t="s">
        <v>776</v>
      </c>
      <c r="E275" t="str">
        <f t="shared" si="4"/>
        <v>net.bytebuddy.implementation.bytecode.constant.MethodConstant.CachedConstructor</v>
      </c>
      <c r="F275" t="s">
        <v>777</v>
      </c>
      <c r="G275">
        <v>1480</v>
      </c>
      <c r="H275" s="3">
        <v>0</v>
      </c>
      <c r="I275" s="3">
        <f>VLOOKUP(E275,codex!$A$1:$B$358,2,0)</f>
        <v>0</v>
      </c>
    </row>
    <row r="276" spans="1:9" x14ac:dyDescent="0.25">
      <c r="A276" t="s">
        <v>6</v>
      </c>
      <c r="B276" s="3" t="s">
        <v>1295</v>
      </c>
      <c r="C276" t="s">
        <v>93</v>
      </c>
      <c r="D276" t="s">
        <v>778</v>
      </c>
      <c r="E276" t="str">
        <f t="shared" si="4"/>
        <v>com.github.javaparser.symbolsolver.javassistmodel.JavassistParameterDeclaration</v>
      </c>
      <c r="F276" t="s">
        <v>779</v>
      </c>
      <c r="G276">
        <v>665</v>
      </c>
      <c r="H276" s="3">
        <v>0</v>
      </c>
      <c r="I276" s="3">
        <f>VLOOKUP(E276,codex!$A$1:$B$358,2,0)</f>
        <v>0</v>
      </c>
    </row>
    <row r="277" spans="1:9" x14ac:dyDescent="0.25">
      <c r="A277" t="s">
        <v>8</v>
      </c>
      <c r="B277" s="3" t="s">
        <v>1295</v>
      </c>
      <c r="C277" t="s">
        <v>61</v>
      </c>
      <c r="D277" t="s">
        <v>780</v>
      </c>
      <c r="E277" t="str">
        <f t="shared" si="4"/>
        <v>net.bytebuddy.pool.TypePool.MethodTokenList</v>
      </c>
      <c r="F277" t="s">
        <v>781</v>
      </c>
      <c r="G277">
        <v>658</v>
      </c>
      <c r="H277" s="3">
        <v>0</v>
      </c>
      <c r="I277" s="3">
        <f>VLOOKUP(E277,codex!$A$1:$B$358,2,0)</f>
        <v>0</v>
      </c>
    </row>
    <row r="278" spans="1:9" x14ac:dyDescent="0.25">
      <c r="A278" t="s">
        <v>8</v>
      </c>
      <c r="B278" s="3" t="s">
        <v>1295</v>
      </c>
      <c r="C278" t="s">
        <v>157</v>
      </c>
      <c r="D278" t="s">
        <v>782</v>
      </c>
      <c r="E278" t="str">
        <f t="shared" si="4"/>
        <v>net.bytebuddy.dynamic.loading.ClassInjector.UsingInstrumentation</v>
      </c>
      <c r="F278" t="s">
        <v>783</v>
      </c>
      <c r="G278">
        <v>828</v>
      </c>
      <c r="H278" s="3">
        <v>0</v>
      </c>
      <c r="I278" s="3">
        <f>VLOOKUP(E278,codex!$A$1:$B$358,2,0)</f>
        <v>0</v>
      </c>
    </row>
    <row r="279" spans="1:9" x14ac:dyDescent="0.25">
      <c r="A279" t="s">
        <v>57</v>
      </c>
      <c r="B279" s="3" t="s">
        <v>1295</v>
      </c>
      <c r="C279" t="s">
        <v>784</v>
      </c>
      <c r="D279" t="s">
        <v>785</v>
      </c>
      <c r="E279" t="str">
        <f t="shared" si="4"/>
        <v>com.google.googlejavaformat.java.StringWrapper.LongStringsAndTextBlockScanner</v>
      </c>
      <c r="F279" t="s">
        <v>786</v>
      </c>
      <c r="G279">
        <v>253</v>
      </c>
      <c r="H279" s="3">
        <v>0</v>
      </c>
      <c r="I279" s="3">
        <f>VLOOKUP(E279,codex!$A$1:$B$358,2,0)</f>
        <v>0</v>
      </c>
    </row>
    <row r="280" spans="1:9" x14ac:dyDescent="0.25">
      <c r="A280" t="s">
        <v>31</v>
      </c>
      <c r="B280" s="3" t="s">
        <v>1295</v>
      </c>
      <c r="C280" t="s">
        <v>78</v>
      </c>
      <c r="D280" t="s">
        <v>787</v>
      </c>
      <c r="E280" t="str">
        <f t="shared" si="4"/>
        <v>com.google.gson.JsonArray</v>
      </c>
      <c r="F280" t="s">
        <v>788</v>
      </c>
      <c r="G280">
        <v>865</v>
      </c>
      <c r="H280" s="3">
        <v>0</v>
      </c>
      <c r="I280" s="3">
        <f>VLOOKUP(E280,codex!$A$1:$B$358,2,0)</f>
        <v>0</v>
      </c>
    </row>
    <row r="281" spans="1:9" x14ac:dyDescent="0.25">
      <c r="A281" t="s">
        <v>8</v>
      </c>
      <c r="B281" s="3" t="s">
        <v>1295</v>
      </c>
      <c r="C281" t="s">
        <v>789</v>
      </c>
      <c r="D281" t="s">
        <v>43</v>
      </c>
      <c r="E281" t="str">
        <f t="shared" si="4"/>
        <v>net.bytebuddy.benchmark.jmh.generated.ClassByExtensionBenchmark.benchmarkByteBuddyWithProxy.jmhTest</v>
      </c>
      <c r="F281" t="s">
        <v>790</v>
      </c>
      <c r="G281">
        <v>4453</v>
      </c>
      <c r="H281" s="3">
        <v>0</v>
      </c>
      <c r="I281" s="3">
        <f>VLOOKUP(E281,codex!$A$1:$B$358,2,0)</f>
        <v>0</v>
      </c>
    </row>
    <row r="282" spans="1:9" x14ac:dyDescent="0.25">
      <c r="A282" t="s">
        <v>6</v>
      </c>
      <c r="B282" s="3" t="s">
        <v>1295</v>
      </c>
      <c r="C282" t="s">
        <v>138</v>
      </c>
      <c r="D282" t="s">
        <v>791</v>
      </c>
      <c r="E282" t="str">
        <f t="shared" si="4"/>
        <v>com.github.javaparser.symbolsolver.cache.InMemoryCache</v>
      </c>
      <c r="F282" t="s">
        <v>792</v>
      </c>
      <c r="G282">
        <v>440</v>
      </c>
      <c r="H282" s="3">
        <v>0</v>
      </c>
      <c r="I282" s="3">
        <f>VLOOKUP(E282,codex!$A$1:$B$358,2,0)</f>
        <v>0</v>
      </c>
    </row>
    <row r="283" spans="1:9" x14ac:dyDescent="0.25">
      <c r="A283" t="s">
        <v>14</v>
      </c>
      <c r="B283" s="3" t="s">
        <v>1295</v>
      </c>
      <c r="C283" t="s">
        <v>79</v>
      </c>
      <c r="D283" t="s">
        <v>164</v>
      </c>
      <c r="E283" t="str">
        <f t="shared" si="4"/>
        <v>org.apache.commons.io.file.CountingPathVisitor.AbstractBuilder</v>
      </c>
      <c r="F283" t="s">
        <v>793</v>
      </c>
      <c r="G283">
        <v>470</v>
      </c>
      <c r="H283" s="3">
        <v>0</v>
      </c>
      <c r="I283" s="3">
        <f>VLOOKUP(E283,codex!$A$1:$B$358,2,0)</f>
        <v>0</v>
      </c>
    </row>
    <row r="284" spans="1:9" x14ac:dyDescent="0.25">
      <c r="A284" t="s">
        <v>6</v>
      </c>
      <c r="B284" s="3" t="s">
        <v>1295</v>
      </c>
      <c r="C284" t="s">
        <v>794</v>
      </c>
      <c r="D284" t="s">
        <v>795</v>
      </c>
      <c r="E284" t="str">
        <f t="shared" si="4"/>
        <v>package.c.c</v>
      </c>
      <c r="F284" t="s">
        <v>796</v>
      </c>
      <c r="G284">
        <v>242</v>
      </c>
      <c r="H284" s="3">
        <v>0</v>
      </c>
      <c r="I284" s="3">
        <f>VLOOKUP(E284,codex!$A$1:$B$358,2,0)</f>
        <v>0</v>
      </c>
    </row>
    <row r="285" spans="1:9" x14ac:dyDescent="0.25">
      <c r="A285" t="s">
        <v>57</v>
      </c>
      <c r="B285" s="3" t="s">
        <v>1295</v>
      </c>
      <c r="C285" t="s">
        <v>320</v>
      </c>
      <c r="D285" t="s">
        <v>797</v>
      </c>
      <c r="E285" t="str">
        <f t="shared" si="4"/>
        <v>com.google.googlejavaformat.DocBuilder</v>
      </c>
      <c r="F285" t="s">
        <v>798</v>
      </c>
      <c r="G285">
        <v>779</v>
      </c>
      <c r="H285" s="3">
        <v>0</v>
      </c>
      <c r="I285" s="3">
        <f>VLOOKUP(E285,codex!$A$1:$B$358,2,0)</f>
        <v>0</v>
      </c>
    </row>
    <row r="286" spans="1:9" x14ac:dyDescent="0.25">
      <c r="A286" t="s">
        <v>8</v>
      </c>
      <c r="B286" s="3" t="s">
        <v>1295</v>
      </c>
      <c r="C286" t="s">
        <v>799</v>
      </c>
      <c r="D286" t="s">
        <v>43</v>
      </c>
      <c r="E286" t="str">
        <f t="shared" si="4"/>
        <v>net.bytebuddy.benchmark.jmh.generated.ClassByImplementationBenchmark.benchmarkCglib.jmhTest</v>
      </c>
      <c r="F286" t="s">
        <v>800</v>
      </c>
      <c r="G286">
        <v>4397</v>
      </c>
      <c r="H286" s="3">
        <v>0</v>
      </c>
      <c r="I286" s="3">
        <f>VLOOKUP(E286,codex!$A$1:$B$358,2,0)</f>
        <v>0</v>
      </c>
    </row>
    <row r="287" spans="1:9" x14ac:dyDescent="0.25">
      <c r="A287" t="s">
        <v>6</v>
      </c>
      <c r="B287" s="3" t="s">
        <v>1295</v>
      </c>
      <c r="C287" t="s">
        <v>70</v>
      </c>
      <c r="D287" t="s">
        <v>801</v>
      </c>
      <c r="E287" t="str">
        <f t="shared" si="4"/>
        <v>com.github.javaparser.metamodel.UnionTypeMetaModel</v>
      </c>
      <c r="F287" t="s">
        <v>802</v>
      </c>
      <c r="G287">
        <v>2256</v>
      </c>
      <c r="H287" s="3">
        <v>0</v>
      </c>
      <c r="I287" s="3">
        <f>VLOOKUP(E287,codex!$A$1:$B$358,2,0)</f>
        <v>0</v>
      </c>
    </row>
    <row r="288" spans="1:9" x14ac:dyDescent="0.25">
      <c r="A288" t="s">
        <v>8</v>
      </c>
      <c r="B288" s="3" t="s">
        <v>1295</v>
      </c>
      <c r="C288" t="s">
        <v>16</v>
      </c>
      <c r="D288" t="s">
        <v>803</v>
      </c>
      <c r="E288" t="str">
        <f t="shared" si="4"/>
        <v>net.bytebuddy.implementation.bind.MethodDelegationBinder.BindingResolver</v>
      </c>
      <c r="F288" t="s">
        <v>804</v>
      </c>
      <c r="G288">
        <v>551</v>
      </c>
      <c r="H288" s="3">
        <v>0</v>
      </c>
      <c r="I288" s="3">
        <f>VLOOKUP(E288,codex!$A$1:$B$358,2,0)</f>
        <v>0</v>
      </c>
    </row>
    <row r="289" spans="1:9" x14ac:dyDescent="0.25">
      <c r="A289" t="s">
        <v>57</v>
      </c>
      <c r="B289" s="3" t="s">
        <v>1295</v>
      </c>
      <c r="C289" t="s">
        <v>58</v>
      </c>
      <c r="D289" t="s">
        <v>805</v>
      </c>
      <c r="E289" t="str">
        <f t="shared" si="4"/>
        <v>com.google.googlejavaformat.java.JavacTokens.CommentSavingTokenizer</v>
      </c>
      <c r="F289" t="s">
        <v>806</v>
      </c>
      <c r="G289">
        <v>319</v>
      </c>
      <c r="H289" s="3">
        <v>0</v>
      </c>
      <c r="I289" s="3">
        <f>VLOOKUP(E289,codex!$A$1:$B$358,2,0)</f>
        <v>0</v>
      </c>
    </row>
    <row r="290" spans="1:9" x14ac:dyDescent="0.25">
      <c r="A290" t="s">
        <v>31</v>
      </c>
      <c r="B290" s="3" t="s">
        <v>1295</v>
      </c>
      <c r="C290" t="s">
        <v>807</v>
      </c>
      <c r="D290" t="s">
        <v>808</v>
      </c>
      <c r="E290" t="str">
        <f t="shared" si="4"/>
        <v>com.google.gson.graph.GraphAdapterBuilder</v>
      </c>
      <c r="F290" t="s">
        <v>809</v>
      </c>
      <c r="G290">
        <v>1013</v>
      </c>
      <c r="H290" s="3">
        <v>0</v>
      </c>
      <c r="I290" s="3">
        <f>VLOOKUP(E290,codex!$A$1:$B$358,2,0)</f>
        <v>0</v>
      </c>
    </row>
    <row r="291" spans="1:9" x14ac:dyDescent="0.25">
      <c r="A291" t="s">
        <v>20</v>
      </c>
      <c r="B291" s="3" t="s">
        <v>1295</v>
      </c>
      <c r="C291" t="s">
        <v>105</v>
      </c>
      <c r="D291" t="s">
        <v>810</v>
      </c>
      <c r="E291" t="str">
        <f t="shared" si="4"/>
        <v>org.adoptopenjdk.jitwatch.util.TooltipUtil</v>
      </c>
      <c r="F291" t="s">
        <v>811</v>
      </c>
      <c r="G291">
        <v>1170</v>
      </c>
      <c r="H291" s="3">
        <v>0</v>
      </c>
      <c r="I291" s="3">
        <f>VLOOKUP(E291,codex!$A$1:$B$358,2,0)</f>
        <v>0</v>
      </c>
    </row>
    <row r="292" spans="1:9" x14ac:dyDescent="0.25">
      <c r="A292" t="s">
        <v>6</v>
      </c>
      <c r="B292" s="3" t="s">
        <v>1295</v>
      </c>
      <c r="C292" t="s">
        <v>812</v>
      </c>
      <c r="D292" t="s">
        <v>813</v>
      </c>
      <c r="E292" t="str">
        <f t="shared" si="4"/>
        <v>package.b.b</v>
      </c>
      <c r="F292" t="s">
        <v>814</v>
      </c>
      <c r="G292">
        <v>242</v>
      </c>
      <c r="H292" s="3">
        <v>0</v>
      </c>
      <c r="I292" s="3">
        <f>VLOOKUP(E292,codex!$A$1:$B$358,2,0)</f>
        <v>0</v>
      </c>
    </row>
    <row r="293" spans="1:9" x14ac:dyDescent="0.25">
      <c r="A293" t="s">
        <v>6</v>
      </c>
      <c r="B293" s="3" t="s">
        <v>1295</v>
      </c>
      <c r="C293" t="s">
        <v>247</v>
      </c>
      <c r="D293" t="s">
        <v>815</v>
      </c>
      <c r="E293" t="str">
        <f t="shared" si="4"/>
        <v>com.github.javaparser.symbolsolver.resolution.promotion.ConditionalExprResolver</v>
      </c>
      <c r="F293" t="s">
        <v>816</v>
      </c>
      <c r="G293">
        <v>1531</v>
      </c>
      <c r="H293" s="3">
        <v>0</v>
      </c>
      <c r="I293" s="3">
        <f>VLOOKUP(E293,codex!$A$1:$B$358,2,0)</f>
        <v>0</v>
      </c>
    </row>
    <row r="294" spans="1:9" x14ac:dyDescent="0.25">
      <c r="A294" t="s">
        <v>57</v>
      </c>
      <c r="B294" s="3" t="s">
        <v>1295</v>
      </c>
      <c r="C294" t="s">
        <v>107</v>
      </c>
      <c r="D294" t="s">
        <v>108</v>
      </c>
      <c r="E294" t="str">
        <f t="shared" si="4"/>
        <v>com.google.googlejavaformat.java.Main</v>
      </c>
      <c r="F294" t="s">
        <v>817</v>
      </c>
      <c r="G294">
        <v>655</v>
      </c>
      <c r="H294" s="3">
        <v>0</v>
      </c>
      <c r="I294" s="3">
        <f>VLOOKUP(E294,codex!$A$1:$B$358,2,0)</f>
        <v>0</v>
      </c>
    </row>
    <row r="295" spans="1:9" x14ac:dyDescent="0.25">
      <c r="A295" t="s">
        <v>28</v>
      </c>
      <c r="B295" s="3" t="s">
        <v>1295</v>
      </c>
      <c r="C295" t="s">
        <v>120</v>
      </c>
      <c r="D295" t="s">
        <v>818</v>
      </c>
      <c r="E295" t="str">
        <f t="shared" si="4"/>
        <v>com.google.common.jimfs.PathURLConnection</v>
      </c>
      <c r="F295" t="s">
        <v>819</v>
      </c>
      <c r="G295">
        <v>247</v>
      </c>
      <c r="H295" s="3">
        <v>0</v>
      </c>
      <c r="I295" s="3">
        <f>VLOOKUP(E295,codex!$A$1:$B$358,2,0)</f>
        <v>0</v>
      </c>
    </row>
    <row r="296" spans="1:9" x14ac:dyDescent="0.25">
      <c r="A296" t="s">
        <v>18</v>
      </c>
      <c r="B296" s="3" t="s">
        <v>1295</v>
      </c>
      <c r="C296" t="s">
        <v>820</v>
      </c>
      <c r="D296" t="s">
        <v>821</v>
      </c>
      <c r="E296" t="str">
        <f t="shared" si="4"/>
        <v>com.google.zxing.web.DoSTracker.TrackerTask</v>
      </c>
      <c r="F296" t="s">
        <v>822</v>
      </c>
      <c r="G296">
        <v>251</v>
      </c>
      <c r="H296" s="3">
        <v>0</v>
      </c>
      <c r="I296" s="3">
        <f>VLOOKUP(E296,codex!$A$1:$B$358,2,0)</f>
        <v>0</v>
      </c>
    </row>
    <row r="297" spans="1:9" x14ac:dyDescent="0.25">
      <c r="A297" t="s">
        <v>8</v>
      </c>
      <c r="B297" s="3" t="s">
        <v>1295</v>
      </c>
      <c r="C297" t="s">
        <v>823</v>
      </c>
      <c r="D297" t="s">
        <v>824</v>
      </c>
      <c r="E297" t="str">
        <f t="shared" si="4"/>
        <v>net.bytebuddy.implementation.bytecode.member.MethodInvocation.OfGenericMethod</v>
      </c>
      <c r="F297" t="s">
        <v>825</v>
      </c>
      <c r="G297">
        <v>1492</v>
      </c>
      <c r="H297" s="3">
        <v>0</v>
      </c>
      <c r="I297" s="3">
        <f>VLOOKUP(E297,codex!$A$1:$B$358,2,0)</f>
        <v>0</v>
      </c>
    </row>
    <row r="298" spans="1:9" x14ac:dyDescent="0.25">
      <c r="A298" t="s">
        <v>8</v>
      </c>
      <c r="B298" s="3" t="s">
        <v>1295</v>
      </c>
      <c r="C298" t="s">
        <v>683</v>
      </c>
      <c r="D298" t="s">
        <v>531</v>
      </c>
      <c r="E298" t="str">
        <f t="shared" si="4"/>
        <v>net.bytebuddy.implementation.FixedValue.ForNullValue</v>
      </c>
      <c r="F298" t="s">
        <v>826</v>
      </c>
      <c r="G298">
        <v>733</v>
      </c>
      <c r="H298" s="3">
        <v>0</v>
      </c>
      <c r="I298" s="3">
        <f>VLOOKUP(E298,codex!$A$1:$B$358,2,0)</f>
        <v>0</v>
      </c>
    </row>
    <row r="299" spans="1:9" x14ac:dyDescent="0.25">
      <c r="A299" t="s">
        <v>34</v>
      </c>
      <c r="B299" s="3" t="s">
        <v>1295</v>
      </c>
      <c r="C299" t="s">
        <v>154</v>
      </c>
      <c r="D299" t="s">
        <v>827</v>
      </c>
      <c r="E299" t="str">
        <f t="shared" si="4"/>
        <v>org.apache.commons.lang3.function.FailableRunnable</v>
      </c>
      <c r="F299" t="s">
        <v>828</v>
      </c>
      <c r="G299">
        <v>711</v>
      </c>
      <c r="H299" s="3">
        <v>0</v>
      </c>
      <c r="I299" s="3">
        <f>VLOOKUP(E299,codex!$A$1:$B$358,2,0)</f>
        <v>0</v>
      </c>
    </row>
    <row r="300" spans="1:9" x14ac:dyDescent="0.25">
      <c r="A300" t="s">
        <v>14</v>
      </c>
      <c r="B300" s="3" t="s">
        <v>1295</v>
      </c>
      <c r="C300" t="s">
        <v>24</v>
      </c>
      <c r="D300" t="s">
        <v>829</v>
      </c>
      <c r="E300" t="str">
        <f t="shared" si="4"/>
        <v>org.apache.commons.io.input.ClassLoaderObjectInputStream</v>
      </c>
      <c r="F300" t="s">
        <v>830</v>
      </c>
      <c r="G300">
        <v>249</v>
      </c>
      <c r="H300" s="3">
        <v>0</v>
      </c>
      <c r="I300" s="3">
        <f>VLOOKUP(E300,codex!$A$1:$B$358,2,0)</f>
        <v>0</v>
      </c>
    </row>
    <row r="301" spans="1:9" x14ac:dyDescent="0.25">
      <c r="A301" t="s">
        <v>14</v>
      </c>
      <c r="B301" s="3" t="s">
        <v>1295</v>
      </c>
      <c r="C301" t="s">
        <v>169</v>
      </c>
      <c r="D301" t="s">
        <v>831</v>
      </c>
      <c r="E301" t="str">
        <f t="shared" si="4"/>
        <v>org.apache.commons.io.function.IOBiConsumer</v>
      </c>
      <c r="F301" t="s">
        <v>832</v>
      </c>
      <c r="G301">
        <v>1249</v>
      </c>
      <c r="H301" s="3">
        <v>0</v>
      </c>
      <c r="I301" s="3">
        <f>VLOOKUP(E301,codex!$A$1:$B$358,2,0)</f>
        <v>0</v>
      </c>
    </row>
    <row r="302" spans="1:9" x14ac:dyDescent="0.25">
      <c r="A302" t="s">
        <v>8</v>
      </c>
      <c r="B302" s="3" t="s">
        <v>1295</v>
      </c>
      <c r="C302" t="s">
        <v>833</v>
      </c>
      <c r="D302" t="s">
        <v>834</v>
      </c>
      <c r="E302" t="str">
        <f t="shared" si="4"/>
        <v>net.bytebuddy.dynamic.scaffold.subclass.ConstructorStrategy.WithMethodAttributeAppenderFactory</v>
      </c>
      <c r="F302" t="s">
        <v>835</v>
      </c>
      <c r="G302">
        <v>707</v>
      </c>
      <c r="H302" s="3">
        <v>0</v>
      </c>
      <c r="I302" s="3">
        <f>VLOOKUP(E302,codex!$A$1:$B$358,2,0)</f>
        <v>0</v>
      </c>
    </row>
    <row r="303" spans="1:9" x14ac:dyDescent="0.25">
      <c r="A303" t="s">
        <v>14</v>
      </c>
      <c r="B303" s="3" t="s">
        <v>1295</v>
      </c>
      <c r="C303" t="s">
        <v>836</v>
      </c>
      <c r="D303" t="s">
        <v>837</v>
      </c>
      <c r="E303" t="str">
        <f t="shared" si="4"/>
        <v>org.apache.commons.io.channels.ByteArraySeekableByteChannel</v>
      </c>
      <c r="F303" t="s">
        <v>838</v>
      </c>
      <c r="G303">
        <v>479</v>
      </c>
      <c r="H303" s="3">
        <v>0</v>
      </c>
      <c r="I303" s="3">
        <f>VLOOKUP(E303,codex!$A$1:$B$358,2,0)</f>
        <v>0</v>
      </c>
    </row>
    <row r="304" spans="1:9" x14ac:dyDescent="0.25">
      <c r="A304" t="s">
        <v>8</v>
      </c>
      <c r="B304" s="3" t="s">
        <v>1295</v>
      </c>
      <c r="C304" t="s">
        <v>839</v>
      </c>
      <c r="D304" t="s">
        <v>840</v>
      </c>
      <c r="E304" t="str">
        <f t="shared" si="4"/>
        <v>net.bytebuddy.implementation.SuperMethodCall.TerminationHandler</v>
      </c>
      <c r="F304" t="s">
        <v>841</v>
      </c>
      <c r="G304">
        <v>385</v>
      </c>
      <c r="H304" s="3">
        <v>0</v>
      </c>
      <c r="I304" s="3">
        <f>VLOOKUP(E304,codex!$A$1:$B$358,2,0)</f>
        <v>0</v>
      </c>
    </row>
    <row r="305" spans="1:9" x14ac:dyDescent="0.25">
      <c r="A305" t="s">
        <v>20</v>
      </c>
      <c r="B305" s="3" t="s">
        <v>1295</v>
      </c>
      <c r="C305" t="s">
        <v>734</v>
      </c>
      <c r="D305" t="s">
        <v>842</v>
      </c>
      <c r="E305" t="str">
        <f t="shared" si="4"/>
        <v>org.adoptopenjdk.jitwatch.model.bytecode.LineTable</v>
      </c>
      <c r="F305" t="s">
        <v>843</v>
      </c>
      <c r="G305">
        <v>1711</v>
      </c>
      <c r="H305" s="3">
        <v>0</v>
      </c>
      <c r="I305" s="3">
        <f>VLOOKUP(E305,codex!$A$1:$B$358,2,0)</f>
        <v>0</v>
      </c>
    </row>
    <row r="306" spans="1:9" x14ac:dyDescent="0.25">
      <c r="A306" t="s">
        <v>8</v>
      </c>
      <c r="B306" s="3" t="s">
        <v>1295</v>
      </c>
      <c r="C306" t="s">
        <v>80</v>
      </c>
      <c r="D306" t="s">
        <v>844</v>
      </c>
      <c r="E306" t="str">
        <f t="shared" si="4"/>
        <v>net.bytebuddy.description.field.FieldDescription.ForLoadedField</v>
      </c>
      <c r="F306" t="s">
        <v>845</v>
      </c>
      <c r="G306">
        <v>1293</v>
      </c>
      <c r="H306" s="3">
        <v>0</v>
      </c>
      <c r="I306" s="3">
        <f>VLOOKUP(E306,codex!$A$1:$B$358,2,0)</f>
        <v>0</v>
      </c>
    </row>
    <row r="307" spans="1:9" x14ac:dyDescent="0.25">
      <c r="A307" t="s">
        <v>57</v>
      </c>
      <c r="B307" s="3" t="s">
        <v>1295</v>
      </c>
      <c r="C307" t="s">
        <v>846</v>
      </c>
      <c r="D307" t="s">
        <v>847</v>
      </c>
      <c r="E307" t="str">
        <f t="shared" si="4"/>
        <v>com.google.googlejavaformat.intellij.UiFormatterStyle</v>
      </c>
      <c r="F307" t="s">
        <v>848</v>
      </c>
      <c r="G307">
        <v>395</v>
      </c>
      <c r="H307" s="3">
        <v>0</v>
      </c>
      <c r="I307" s="3">
        <f>VLOOKUP(E307,codex!$A$1:$B$358,2,0)</f>
        <v>0</v>
      </c>
    </row>
    <row r="308" spans="1:9" x14ac:dyDescent="0.25">
      <c r="A308" t="s">
        <v>6</v>
      </c>
      <c r="B308" s="3" t="s">
        <v>1295</v>
      </c>
      <c r="C308" t="s">
        <v>93</v>
      </c>
      <c r="D308" t="s">
        <v>849</v>
      </c>
      <c r="E308" t="str">
        <f t="shared" si="4"/>
        <v>com.github.javaparser.symbolsolver.javassistmodel.JavassistEnumDeclaration</v>
      </c>
      <c r="F308" t="s">
        <v>850</v>
      </c>
      <c r="G308">
        <v>1682</v>
      </c>
      <c r="H308" s="3">
        <v>0</v>
      </c>
      <c r="I308" s="3">
        <f>VLOOKUP(E308,codex!$A$1:$B$358,2,0)</f>
        <v>0</v>
      </c>
    </row>
    <row r="309" spans="1:9" x14ac:dyDescent="0.25">
      <c r="A309" t="s">
        <v>34</v>
      </c>
      <c r="B309" s="3" t="s">
        <v>1295</v>
      </c>
      <c r="C309" t="s">
        <v>111</v>
      </c>
      <c r="D309" t="s">
        <v>851</v>
      </c>
      <c r="E309" t="str">
        <f t="shared" si="4"/>
        <v>org.apache.commons.lang3.time.GmtTimeZone</v>
      </c>
      <c r="F309" t="s">
        <v>852</v>
      </c>
      <c r="G309">
        <v>315</v>
      </c>
      <c r="H309" s="3">
        <v>0</v>
      </c>
      <c r="I309" s="3">
        <f>VLOOKUP(E309,codex!$A$1:$B$358,2,0)</f>
        <v>0</v>
      </c>
    </row>
    <row r="310" spans="1:9" x14ac:dyDescent="0.25">
      <c r="A310" t="s">
        <v>18</v>
      </c>
      <c r="B310" s="3" t="s">
        <v>1295</v>
      </c>
      <c r="C310" t="s">
        <v>19</v>
      </c>
      <c r="D310" t="s">
        <v>853</v>
      </c>
      <c r="E310" t="str">
        <f t="shared" si="4"/>
        <v>com.google.zxing.LuminanceSource</v>
      </c>
      <c r="F310" t="s">
        <v>854</v>
      </c>
      <c r="G310">
        <v>1053</v>
      </c>
      <c r="H310" s="3">
        <v>0</v>
      </c>
      <c r="I310" s="3">
        <f>VLOOKUP(E310,codex!$A$1:$B$358,2,0)</f>
        <v>0</v>
      </c>
    </row>
    <row r="311" spans="1:9" x14ac:dyDescent="0.25">
      <c r="A311" t="s">
        <v>6</v>
      </c>
      <c r="B311" s="3" t="s">
        <v>1295</v>
      </c>
      <c r="C311" t="s">
        <v>855</v>
      </c>
      <c r="D311" t="s">
        <v>856</v>
      </c>
      <c r="E311" t="str">
        <f t="shared" si="4"/>
        <v>com.github.javaparser.ast.nodeTypes.modifiers.NodeWithProtectedModifier</v>
      </c>
      <c r="F311" t="s">
        <v>857</v>
      </c>
      <c r="G311">
        <v>253</v>
      </c>
      <c r="H311" s="3">
        <v>0</v>
      </c>
      <c r="I311" s="3">
        <f>VLOOKUP(E311,codex!$A$1:$B$358,2,0)</f>
        <v>0</v>
      </c>
    </row>
    <row r="312" spans="1:9" x14ac:dyDescent="0.25">
      <c r="A312" t="s">
        <v>6</v>
      </c>
      <c r="B312" s="3" t="s">
        <v>1295</v>
      </c>
      <c r="C312" t="s">
        <v>858</v>
      </c>
      <c r="D312" t="s">
        <v>859</v>
      </c>
      <c r="E312" t="str">
        <f t="shared" si="4"/>
        <v>japa.bdd.samples.JavaConcepts.Enum</v>
      </c>
      <c r="F312" t="s">
        <v>860</v>
      </c>
      <c r="G312">
        <v>248</v>
      </c>
      <c r="H312" s="3">
        <v>0</v>
      </c>
      <c r="I312" s="3">
        <f>VLOOKUP(E312,codex!$A$1:$B$358,2,0)</f>
        <v>0</v>
      </c>
    </row>
    <row r="313" spans="1:9" x14ac:dyDescent="0.25">
      <c r="A313" t="s">
        <v>8</v>
      </c>
      <c r="B313" s="3" t="s">
        <v>1295</v>
      </c>
      <c r="C313" t="s">
        <v>73</v>
      </c>
      <c r="D313" t="s">
        <v>861</v>
      </c>
      <c r="E313" t="str">
        <f t="shared" si="4"/>
        <v>net.bytebuddy.dynamic.ClassFileLocator.Filtering</v>
      </c>
      <c r="F313" t="s">
        <v>862</v>
      </c>
      <c r="G313">
        <v>582</v>
      </c>
      <c r="H313" s="3">
        <v>0</v>
      </c>
      <c r="I313" s="3">
        <f>VLOOKUP(E313,codex!$A$1:$B$358,2,0)</f>
        <v>0</v>
      </c>
    </row>
    <row r="314" spans="1:9" x14ac:dyDescent="0.25">
      <c r="A314" t="s">
        <v>8</v>
      </c>
      <c r="B314" s="3" t="s">
        <v>1295</v>
      </c>
      <c r="C314" t="s">
        <v>46</v>
      </c>
      <c r="D314" t="s">
        <v>863</v>
      </c>
      <c r="E314" t="str">
        <f t="shared" si="4"/>
        <v>net.bytebuddy.asm.MemberSubstitution.Write</v>
      </c>
      <c r="F314" t="s">
        <v>864</v>
      </c>
      <c r="G314">
        <v>955</v>
      </c>
      <c r="H314" s="3">
        <v>0</v>
      </c>
      <c r="I314" s="3">
        <f>VLOOKUP(E314,codex!$A$1:$B$358,2,0)</f>
        <v>0</v>
      </c>
    </row>
    <row r="315" spans="1:9" x14ac:dyDescent="0.25">
      <c r="A315" t="s">
        <v>8</v>
      </c>
      <c r="B315" s="3" t="s">
        <v>1295</v>
      </c>
      <c r="C315" t="s">
        <v>701</v>
      </c>
      <c r="D315" t="s">
        <v>865</v>
      </c>
      <c r="E315" t="str">
        <f t="shared" si="4"/>
        <v>net.bytebuddy.build.RenamingPlugin.Renaming</v>
      </c>
      <c r="F315" t="s">
        <v>866</v>
      </c>
      <c r="G315">
        <v>447</v>
      </c>
      <c r="H315" s="3">
        <v>0</v>
      </c>
      <c r="I315" s="3">
        <f>VLOOKUP(E315,codex!$A$1:$B$358,2,0)</f>
        <v>0</v>
      </c>
    </row>
    <row r="316" spans="1:9" x14ac:dyDescent="0.25">
      <c r="A316" t="s">
        <v>8</v>
      </c>
      <c r="B316" s="3" t="s">
        <v>1295</v>
      </c>
      <c r="C316" t="s">
        <v>144</v>
      </c>
      <c r="D316" t="s">
        <v>840</v>
      </c>
      <c r="E316" t="str">
        <f t="shared" si="4"/>
        <v>net.bytebuddy.implementation.FieldAccessor.TerminationHandler</v>
      </c>
      <c r="F316" t="s">
        <v>867</v>
      </c>
      <c r="G316">
        <v>701</v>
      </c>
      <c r="H316" s="3">
        <v>0</v>
      </c>
      <c r="I316" s="3">
        <f>VLOOKUP(E316,codex!$A$1:$B$358,2,0)</f>
        <v>0</v>
      </c>
    </row>
    <row r="317" spans="1:9" x14ac:dyDescent="0.25">
      <c r="A317" t="s">
        <v>8</v>
      </c>
      <c r="B317" s="3" t="s">
        <v>1295</v>
      </c>
      <c r="C317" t="s">
        <v>61</v>
      </c>
      <c r="D317" t="s">
        <v>868</v>
      </c>
      <c r="E317" t="str">
        <f t="shared" si="4"/>
        <v>net.bytebuddy.pool.TypePool.LazySuperClass</v>
      </c>
      <c r="F317" t="s">
        <v>869</v>
      </c>
      <c r="G317">
        <v>249</v>
      </c>
      <c r="H317" s="3">
        <v>0</v>
      </c>
      <c r="I317" s="3">
        <f>VLOOKUP(E317,codex!$A$1:$B$358,2,0)</f>
        <v>0</v>
      </c>
    </row>
    <row r="318" spans="1:9" x14ac:dyDescent="0.25">
      <c r="A318" t="s">
        <v>6</v>
      </c>
      <c r="B318" s="3" t="s">
        <v>1295</v>
      </c>
      <c r="C318" t="s">
        <v>493</v>
      </c>
      <c r="D318" t="s">
        <v>870</v>
      </c>
      <c r="E318" t="str">
        <f t="shared" si="4"/>
        <v>com.github.javaparser.printer.lexicalpreservation.TextElementMatchers</v>
      </c>
      <c r="F318" t="s">
        <v>871</v>
      </c>
      <c r="G318">
        <v>850</v>
      </c>
      <c r="H318" s="3">
        <v>0</v>
      </c>
      <c r="I318" s="3">
        <f>VLOOKUP(E318,codex!$A$1:$B$358,2,0)</f>
        <v>0</v>
      </c>
    </row>
    <row r="319" spans="1:9" x14ac:dyDescent="0.25">
      <c r="A319" t="s">
        <v>6</v>
      </c>
      <c r="B319" s="3" t="s">
        <v>1295</v>
      </c>
      <c r="C319" t="s">
        <v>106</v>
      </c>
      <c r="D319" t="s">
        <v>872</v>
      </c>
      <c r="E319" t="str">
        <f t="shared" si="4"/>
        <v>com.github.javaparser.Position</v>
      </c>
      <c r="F319" t="s">
        <v>873</v>
      </c>
      <c r="G319">
        <v>1629</v>
      </c>
      <c r="H319" s="3">
        <v>0</v>
      </c>
      <c r="I319" s="3">
        <f>VLOOKUP(E319,codex!$A$1:$B$358,2,0)</f>
        <v>0</v>
      </c>
    </row>
    <row r="320" spans="1:9" x14ac:dyDescent="0.25">
      <c r="A320" t="s">
        <v>6</v>
      </c>
      <c r="B320" s="3" t="s">
        <v>1295</v>
      </c>
      <c r="C320" t="s">
        <v>543</v>
      </c>
      <c r="D320" t="s">
        <v>874</v>
      </c>
      <c r="E320" t="str">
        <f t="shared" si="4"/>
        <v>com.github.javaparser.ast.nodeTypes.NodeWithTypeParameters</v>
      </c>
      <c r="F320" t="s">
        <v>875</v>
      </c>
      <c r="G320">
        <v>1194</v>
      </c>
      <c r="H320" s="3">
        <v>0</v>
      </c>
      <c r="I320" s="3">
        <f>VLOOKUP(E320,codex!$A$1:$B$358,2,0)</f>
        <v>0</v>
      </c>
    </row>
    <row r="321" spans="1:9" x14ac:dyDescent="0.25">
      <c r="A321" t="s">
        <v>8</v>
      </c>
      <c r="B321" s="3" t="s">
        <v>1295</v>
      </c>
      <c r="C321" t="s">
        <v>9</v>
      </c>
      <c r="D321" t="s">
        <v>876</v>
      </c>
      <c r="E321" t="str">
        <f t="shared" si="4"/>
        <v>net.bytebuddy.dynamic.DynamicType.TypeVariableAnnotationAdapter</v>
      </c>
      <c r="F321" t="s">
        <v>877</v>
      </c>
      <c r="G321">
        <v>665</v>
      </c>
      <c r="H321" s="3">
        <v>0</v>
      </c>
      <c r="I321" s="3">
        <f>VLOOKUP(E321,codex!$A$1:$B$358,2,0)</f>
        <v>0</v>
      </c>
    </row>
    <row r="322" spans="1:9" x14ac:dyDescent="0.25">
      <c r="A322" t="s">
        <v>14</v>
      </c>
      <c r="B322" s="3" t="s">
        <v>1295</v>
      </c>
      <c r="C322" t="s">
        <v>15</v>
      </c>
      <c r="D322" t="s">
        <v>878</v>
      </c>
      <c r="E322" t="str">
        <f t="shared" si="4"/>
        <v>org.apache.commons.io.RandomAccessFileMode</v>
      </c>
      <c r="F322" t="s">
        <v>879</v>
      </c>
      <c r="G322">
        <v>840</v>
      </c>
      <c r="H322" s="3">
        <v>0</v>
      </c>
      <c r="I322" s="3">
        <f>VLOOKUP(E322,codex!$A$1:$B$358,2,0)</f>
        <v>0</v>
      </c>
    </row>
    <row r="323" spans="1:9" x14ac:dyDescent="0.25">
      <c r="A323" t="s">
        <v>6</v>
      </c>
      <c r="B323" s="3" t="s">
        <v>1295</v>
      </c>
      <c r="C323" t="s">
        <v>880</v>
      </c>
      <c r="D323" t="s">
        <v>881</v>
      </c>
      <c r="E323" t="str">
        <f t="shared" ref="E323:E361" si="5">C323&amp;"."&amp;D323</f>
        <v>com.github.javaparser.symbolsolver.resolution.typeinference.bounds.SubtypeOfBound</v>
      </c>
      <c r="F323" t="s">
        <v>882</v>
      </c>
      <c r="G323">
        <v>1578</v>
      </c>
      <c r="H323" s="3">
        <v>0</v>
      </c>
      <c r="I323" s="3">
        <f>VLOOKUP(E323,codex!$A$1:$B$358,2,0)</f>
        <v>0</v>
      </c>
    </row>
    <row r="324" spans="1:9" x14ac:dyDescent="0.25">
      <c r="A324" t="s">
        <v>6</v>
      </c>
      <c r="B324" s="3" t="s">
        <v>1295</v>
      </c>
      <c r="C324" t="s">
        <v>21</v>
      </c>
      <c r="D324" t="s">
        <v>883</v>
      </c>
      <c r="E324" t="str">
        <f t="shared" si="5"/>
        <v>(default package).InnerClassDotExpressions</v>
      </c>
      <c r="F324" t="s">
        <v>884</v>
      </c>
      <c r="G324">
        <v>245</v>
      </c>
      <c r="H324" s="3">
        <v>0</v>
      </c>
      <c r="I324" s="3">
        <f>VLOOKUP(E324,codex!$A$1:$B$358,2,0)</f>
        <v>0</v>
      </c>
    </row>
    <row r="325" spans="1:9" x14ac:dyDescent="0.25">
      <c r="A325" t="s">
        <v>57</v>
      </c>
      <c r="B325" s="3" t="s">
        <v>1295</v>
      </c>
      <c r="C325" t="s">
        <v>107</v>
      </c>
      <c r="D325" t="s">
        <v>885</v>
      </c>
      <c r="E325" t="str">
        <f t="shared" si="5"/>
        <v>com.google.googlejavaformat.java.GoogleJavaFormatTool</v>
      </c>
      <c r="F325" t="s">
        <v>886</v>
      </c>
      <c r="G325">
        <v>249</v>
      </c>
      <c r="H325" s="3">
        <v>0</v>
      </c>
      <c r="I325" s="3">
        <f>VLOOKUP(E325,codex!$A$1:$B$358,2,0)</f>
        <v>0</v>
      </c>
    </row>
    <row r="326" spans="1:9" x14ac:dyDescent="0.25">
      <c r="A326" t="s">
        <v>6</v>
      </c>
      <c r="B326" s="3" t="s">
        <v>1295</v>
      </c>
      <c r="C326" t="s">
        <v>70</v>
      </c>
      <c r="D326" t="s">
        <v>170</v>
      </c>
      <c r="E326" t="str">
        <f t="shared" si="5"/>
        <v>com.github.javaparser.metamodel.BaseNodeMetaModel</v>
      </c>
      <c r="F326" t="s">
        <v>887</v>
      </c>
      <c r="G326">
        <v>4041</v>
      </c>
      <c r="H326" s="3">
        <v>0</v>
      </c>
      <c r="I326" s="3">
        <f>VLOOKUP(E326,codex!$A$1:$B$358,2,0)</f>
        <v>0</v>
      </c>
    </row>
    <row r="327" spans="1:9" x14ac:dyDescent="0.25">
      <c r="A327" t="s">
        <v>8</v>
      </c>
      <c r="B327" s="3" t="s">
        <v>1295</v>
      </c>
      <c r="C327" t="s">
        <v>68</v>
      </c>
      <c r="D327" t="s">
        <v>888</v>
      </c>
      <c r="E327" t="str">
        <f t="shared" si="5"/>
        <v>net.bytebuddy.dynamic.scaffold.TypeWriter.WithActiveRecord</v>
      </c>
      <c r="F327" t="s">
        <v>889</v>
      </c>
      <c r="G327">
        <v>826</v>
      </c>
      <c r="H327" s="3">
        <v>0</v>
      </c>
      <c r="I327" s="3">
        <f>VLOOKUP(E327,codex!$A$1:$B$358,2,0)</f>
        <v>0</v>
      </c>
    </row>
    <row r="328" spans="1:9" x14ac:dyDescent="0.25">
      <c r="A328" t="s">
        <v>6</v>
      </c>
      <c r="B328" s="3" t="s">
        <v>1295</v>
      </c>
      <c r="C328" t="s">
        <v>326</v>
      </c>
      <c r="D328" t="s">
        <v>890</v>
      </c>
      <c r="E328" t="str">
        <f t="shared" si="5"/>
        <v>com.github.javaparser.symbolsolver.reflectionmodel.ReflectionEnumConstantDeclaration</v>
      </c>
      <c r="F328" t="s">
        <v>891</v>
      </c>
      <c r="G328">
        <v>871</v>
      </c>
      <c r="H328" s="3">
        <v>0</v>
      </c>
      <c r="I328" s="3">
        <f>VLOOKUP(E328,codex!$A$1:$B$358,2,0)</f>
        <v>0</v>
      </c>
    </row>
    <row r="329" spans="1:9" x14ac:dyDescent="0.25">
      <c r="A329" t="s">
        <v>53</v>
      </c>
      <c r="B329" s="3" t="s">
        <v>1295</v>
      </c>
      <c r="C329" t="s">
        <v>892</v>
      </c>
      <c r="D329" t="s">
        <v>893</v>
      </c>
      <c r="E329" t="str">
        <f t="shared" si="5"/>
        <v>org.jsoup.UnsupportedMimeTypeException</v>
      </c>
      <c r="F329" t="s">
        <v>894</v>
      </c>
      <c r="G329">
        <v>245</v>
      </c>
      <c r="H329" s="3">
        <v>0</v>
      </c>
      <c r="I329" s="3">
        <f>VLOOKUP(E329,codex!$A$1:$B$358,2,0)</f>
        <v>0</v>
      </c>
    </row>
    <row r="330" spans="1:9" x14ac:dyDescent="0.25">
      <c r="A330" t="s">
        <v>8</v>
      </c>
      <c r="B330" s="3" t="s">
        <v>1295</v>
      </c>
      <c r="C330" t="s">
        <v>52</v>
      </c>
      <c r="D330" t="s">
        <v>895</v>
      </c>
      <c r="E330" t="str">
        <f t="shared" si="5"/>
        <v>net.bytebuddy.implementation.auxiliary.TypeProxy.InvocationFactory</v>
      </c>
      <c r="F330" t="s">
        <v>896</v>
      </c>
      <c r="G330">
        <v>905</v>
      </c>
      <c r="H330" s="3">
        <v>0</v>
      </c>
      <c r="I330" s="3">
        <f>VLOOKUP(E330,codex!$A$1:$B$358,2,0)</f>
        <v>0</v>
      </c>
    </row>
    <row r="331" spans="1:9" x14ac:dyDescent="0.25">
      <c r="A331" t="s">
        <v>8</v>
      </c>
      <c r="B331" s="3" t="s">
        <v>1295</v>
      </c>
      <c r="C331" t="s">
        <v>897</v>
      </c>
      <c r="D331" t="s">
        <v>898</v>
      </c>
      <c r="E331" t="str">
        <f t="shared" si="5"/>
        <v>net.bytebuddy.implementation.HashCodeMethod.UsingJump</v>
      </c>
      <c r="F331" t="s">
        <v>899</v>
      </c>
      <c r="G331">
        <v>1385</v>
      </c>
      <c r="H331" s="3">
        <v>0</v>
      </c>
      <c r="I331" s="3">
        <f>VLOOKUP(E331,codex!$A$1:$B$358,2,0)</f>
        <v>0</v>
      </c>
    </row>
    <row r="332" spans="1:9" x14ac:dyDescent="0.25">
      <c r="A332" t="s">
        <v>8</v>
      </c>
      <c r="B332" s="3" t="s">
        <v>1295</v>
      </c>
      <c r="C332" t="s">
        <v>62</v>
      </c>
      <c r="D332" t="s">
        <v>900</v>
      </c>
      <c r="E332" t="str">
        <f t="shared" si="5"/>
        <v>net.bytebuddy.build.Plugin.ForRetainedElement</v>
      </c>
      <c r="F332" t="s">
        <v>901</v>
      </c>
      <c r="G332">
        <v>248</v>
      </c>
      <c r="H332" s="3">
        <v>0</v>
      </c>
      <c r="I332" s="3">
        <f>VLOOKUP(E332,codex!$A$1:$B$358,2,0)</f>
        <v>0</v>
      </c>
    </row>
    <row r="333" spans="1:9" x14ac:dyDescent="0.25">
      <c r="A333" t="s">
        <v>8</v>
      </c>
      <c r="B333" s="3" t="s">
        <v>1295</v>
      </c>
      <c r="C333" t="s">
        <v>68</v>
      </c>
      <c r="D333" t="s">
        <v>902</v>
      </c>
      <c r="E333" t="str">
        <f t="shared" si="5"/>
        <v>net.bytebuddy.dynamic.scaffold.TypeWriter.SignatureKey</v>
      </c>
      <c r="F333" t="s">
        <v>903</v>
      </c>
      <c r="G333">
        <v>250</v>
      </c>
      <c r="H333" s="3">
        <v>0</v>
      </c>
      <c r="I333" s="3">
        <f>VLOOKUP(E333,codex!$A$1:$B$358,2,0)</f>
        <v>0</v>
      </c>
    </row>
    <row r="334" spans="1:9" x14ac:dyDescent="0.25">
      <c r="A334" t="s">
        <v>34</v>
      </c>
      <c r="B334" s="3" t="s">
        <v>1295</v>
      </c>
      <c r="C334" t="s">
        <v>111</v>
      </c>
      <c r="D334" t="s">
        <v>904</v>
      </c>
      <c r="E334" t="str">
        <f t="shared" si="5"/>
        <v>org.apache.commons.lang3.time.AbstractFormatCache</v>
      </c>
      <c r="F334" t="s">
        <v>905</v>
      </c>
      <c r="G334">
        <v>492</v>
      </c>
      <c r="H334" s="3">
        <v>0</v>
      </c>
      <c r="I334" s="3">
        <f>VLOOKUP(E334,codex!$A$1:$B$358,2,0)</f>
        <v>0</v>
      </c>
    </row>
    <row r="335" spans="1:9" x14ac:dyDescent="0.25">
      <c r="A335" t="s">
        <v>8</v>
      </c>
      <c r="B335" s="3" t="s">
        <v>1295</v>
      </c>
      <c r="C335" t="s">
        <v>906</v>
      </c>
      <c r="D335" t="s">
        <v>907</v>
      </c>
      <c r="E335" t="str">
        <f t="shared" si="5"/>
        <v>net.bytebuddy.ByteBuddy.InitializationAppender</v>
      </c>
      <c r="F335" t="s">
        <v>908</v>
      </c>
      <c r="G335">
        <v>477</v>
      </c>
      <c r="H335" s="3">
        <v>0</v>
      </c>
      <c r="I335" s="3">
        <f>VLOOKUP(E335,codex!$A$1:$B$358,2,0)</f>
        <v>0</v>
      </c>
    </row>
    <row r="336" spans="1:9" x14ac:dyDescent="0.25">
      <c r="A336" t="s">
        <v>6</v>
      </c>
      <c r="B336" s="3" t="s">
        <v>1295</v>
      </c>
      <c r="C336" t="s">
        <v>100</v>
      </c>
      <c r="D336" t="s">
        <v>101</v>
      </c>
      <c r="E336" t="str">
        <f t="shared" si="5"/>
        <v>com.github.javaparser.printer.lexicalpreservation.ReshuffledDiffElementExtractor.MatchClassification</v>
      </c>
      <c r="F336" t="s">
        <v>909</v>
      </c>
      <c r="G336">
        <v>459</v>
      </c>
      <c r="H336" s="3">
        <v>0</v>
      </c>
      <c r="I336" s="3">
        <f>VLOOKUP(E336,codex!$A$1:$B$358,2,0)</f>
        <v>0</v>
      </c>
    </row>
    <row r="337" spans="1:9" x14ac:dyDescent="0.25">
      <c r="A337" t="s">
        <v>8</v>
      </c>
      <c r="B337" s="3" t="s">
        <v>1295</v>
      </c>
      <c r="C337" t="s">
        <v>128</v>
      </c>
      <c r="D337" t="s">
        <v>910</v>
      </c>
      <c r="E337" t="str">
        <f t="shared" si="5"/>
        <v>net.bytebuddy.build.maven.ByteBuddyMojo.Coordinate</v>
      </c>
      <c r="F337" t="s">
        <v>911</v>
      </c>
      <c r="G337">
        <v>458</v>
      </c>
      <c r="H337" s="3">
        <v>0</v>
      </c>
      <c r="I337" s="3">
        <f>VLOOKUP(E337,codex!$A$1:$B$358,2,0)</f>
        <v>0</v>
      </c>
    </row>
    <row r="338" spans="1:9" x14ac:dyDescent="0.25">
      <c r="A338" t="s">
        <v>8</v>
      </c>
      <c r="B338" s="3" t="s">
        <v>1295</v>
      </c>
      <c r="C338" t="s">
        <v>89</v>
      </c>
      <c r="D338" t="s">
        <v>912</v>
      </c>
      <c r="E338" t="str">
        <f t="shared" si="5"/>
        <v>net.bytebuddy.implementation.Implementation.WithFixedSuffix</v>
      </c>
      <c r="F338" t="s">
        <v>913</v>
      </c>
      <c r="G338">
        <v>489</v>
      </c>
      <c r="H338" s="3">
        <v>0</v>
      </c>
      <c r="I338" s="3">
        <f>VLOOKUP(E338,codex!$A$1:$B$358,2,0)</f>
        <v>0</v>
      </c>
    </row>
    <row r="339" spans="1:9" x14ac:dyDescent="0.25">
      <c r="A339" t="s">
        <v>20</v>
      </c>
      <c r="B339" s="3" t="s">
        <v>1295</v>
      </c>
      <c r="C339" t="s">
        <v>166</v>
      </c>
      <c r="D339" t="s">
        <v>167</v>
      </c>
      <c r="E339" t="str">
        <f t="shared" si="5"/>
        <v>org.adoptopenjdk.jitwatch.model.PackageManager</v>
      </c>
      <c r="F339" t="s">
        <v>914</v>
      </c>
      <c r="G339">
        <v>2514</v>
      </c>
      <c r="H339" s="3">
        <v>0</v>
      </c>
      <c r="I339" s="3">
        <f>VLOOKUP(E339,codex!$A$1:$B$358,2,0)</f>
        <v>0</v>
      </c>
    </row>
    <row r="340" spans="1:9" x14ac:dyDescent="0.25">
      <c r="A340" t="s">
        <v>8</v>
      </c>
      <c r="B340" s="3" t="s">
        <v>1295</v>
      </c>
      <c r="C340" t="s">
        <v>118</v>
      </c>
      <c r="D340" t="s">
        <v>119</v>
      </c>
      <c r="E340" t="str">
        <f t="shared" si="5"/>
        <v>org.gradle.api.file.DirectoryProperty</v>
      </c>
      <c r="F340" t="s">
        <v>915</v>
      </c>
      <c r="G340">
        <v>337</v>
      </c>
      <c r="H340" s="3">
        <v>0</v>
      </c>
      <c r="I340" s="3">
        <f>VLOOKUP(E340,codex!$A$1:$B$358,2,0)</f>
        <v>0</v>
      </c>
    </row>
    <row r="341" spans="1:9" x14ac:dyDescent="0.25">
      <c r="A341" t="s">
        <v>20</v>
      </c>
      <c r="B341" s="3" t="s">
        <v>1295</v>
      </c>
      <c r="C341" t="s">
        <v>916</v>
      </c>
      <c r="D341" t="s">
        <v>917</v>
      </c>
      <c r="E341" t="str">
        <f t="shared" si="5"/>
        <v>org.adoptopenjdk.jitwatch.inline.HeadlessInlineVisitor</v>
      </c>
      <c r="F341" t="s">
        <v>918</v>
      </c>
      <c r="G341">
        <v>1024</v>
      </c>
      <c r="H341" s="3">
        <v>0</v>
      </c>
      <c r="I341" s="3">
        <f>VLOOKUP(E341,codex!$A$1:$B$358,2,0)</f>
        <v>0</v>
      </c>
    </row>
    <row r="342" spans="1:9" x14ac:dyDescent="0.25">
      <c r="A342" t="s">
        <v>8</v>
      </c>
      <c r="B342" s="3" t="s">
        <v>1295</v>
      </c>
      <c r="C342" t="s">
        <v>94</v>
      </c>
      <c r="D342" t="s">
        <v>919</v>
      </c>
      <c r="E342" t="str">
        <f t="shared" si="5"/>
        <v>net.bytebuddy.dynamic.loading.ClassLoadingStrategy.ForBootstrapInjection</v>
      </c>
      <c r="F342" t="s">
        <v>920</v>
      </c>
      <c r="G342">
        <v>608</v>
      </c>
      <c r="H342" s="3">
        <v>0</v>
      </c>
      <c r="I342" s="3">
        <f>VLOOKUP(E342,codex!$A$1:$B$358,2,0)</f>
        <v>0</v>
      </c>
    </row>
    <row r="343" spans="1:9" x14ac:dyDescent="0.25">
      <c r="A343" t="s">
        <v>14</v>
      </c>
      <c r="B343" s="3" t="s">
        <v>1295</v>
      </c>
      <c r="C343" t="s">
        <v>130</v>
      </c>
      <c r="D343" t="s">
        <v>921</v>
      </c>
      <c r="E343" t="str">
        <f t="shared" si="5"/>
        <v>org.apache.commons.io.comparator.CompositeFileComparator</v>
      </c>
      <c r="F343" t="s">
        <v>922</v>
      </c>
      <c r="G343">
        <v>248</v>
      </c>
      <c r="H343" s="3">
        <v>0</v>
      </c>
      <c r="I343" s="3">
        <f>VLOOKUP(E343,codex!$A$1:$B$358,2,0)</f>
        <v>0</v>
      </c>
    </row>
    <row r="344" spans="1:9" x14ac:dyDescent="0.25">
      <c r="A344" t="s">
        <v>34</v>
      </c>
      <c r="B344" s="3" t="s">
        <v>1295</v>
      </c>
      <c r="C344" t="s">
        <v>154</v>
      </c>
      <c r="D344" t="s">
        <v>923</v>
      </c>
      <c r="E344" t="str">
        <f t="shared" si="5"/>
        <v>org.apache.commons.lang3.function.FailableDoubleConsumer</v>
      </c>
      <c r="F344" t="s">
        <v>924</v>
      </c>
      <c r="G344">
        <v>511</v>
      </c>
      <c r="H344" s="3">
        <v>0</v>
      </c>
      <c r="I344" s="3">
        <f>VLOOKUP(E344,codex!$A$1:$B$358,2,0)</f>
        <v>0</v>
      </c>
    </row>
    <row r="345" spans="1:9" x14ac:dyDescent="0.25">
      <c r="A345" t="s">
        <v>20</v>
      </c>
      <c r="B345" s="3" t="s">
        <v>1295</v>
      </c>
      <c r="C345" t="s">
        <v>21</v>
      </c>
      <c r="D345" t="s">
        <v>925</v>
      </c>
      <c r="E345" t="str">
        <f t="shared" si="5"/>
        <v>(default package).TrivialMethod</v>
      </c>
      <c r="F345" t="s">
        <v>926</v>
      </c>
      <c r="G345">
        <v>244</v>
      </c>
      <c r="H345" s="3">
        <v>0</v>
      </c>
      <c r="I345" s="3">
        <f>VLOOKUP(E345,codex!$A$1:$B$358,2,0)</f>
        <v>0</v>
      </c>
    </row>
    <row r="346" spans="1:9" x14ac:dyDescent="0.25">
      <c r="A346" t="s">
        <v>8</v>
      </c>
      <c r="B346" s="3" t="s">
        <v>1295</v>
      </c>
      <c r="C346" t="s">
        <v>42</v>
      </c>
      <c r="D346" t="s">
        <v>927</v>
      </c>
      <c r="E346" t="str">
        <f t="shared" si="5"/>
        <v>net.bytebuddy.description.method.ParameterList.TypeSubstituting</v>
      </c>
      <c r="F346" t="s">
        <v>928</v>
      </c>
      <c r="G346">
        <v>1491</v>
      </c>
      <c r="H346" s="3">
        <v>0</v>
      </c>
      <c r="I346" s="3">
        <f>VLOOKUP(E346,codex!$A$1:$B$358,2,0)</f>
        <v>0</v>
      </c>
    </row>
    <row r="347" spans="1:9" x14ac:dyDescent="0.25">
      <c r="A347" t="s">
        <v>8</v>
      </c>
      <c r="B347" s="3" t="s">
        <v>1295</v>
      </c>
      <c r="C347" t="s">
        <v>97</v>
      </c>
      <c r="D347" t="s">
        <v>929</v>
      </c>
      <c r="E347" t="str">
        <f t="shared" si="5"/>
        <v>net.bytebuddy.utility.dispatcher.JavaDispatcher.ForUnresolvedMethod</v>
      </c>
      <c r="F347" t="s">
        <v>930</v>
      </c>
      <c r="G347">
        <v>565</v>
      </c>
      <c r="H347" s="3">
        <v>0</v>
      </c>
      <c r="I347" s="3">
        <f>VLOOKUP(E347,codex!$A$1:$B$358,2,0)</f>
        <v>0</v>
      </c>
    </row>
    <row r="348" spans="1:9" x14ac:dyDescent="0.25">
      <c r="A348" t="s">
        <v>8</v>
      </c>
      <c r="B348" s="3" t="s">
        <v>1295</v>
      </c>
      <c r="C348" t="s">
        <v>128</v>
      </c>
      <c r="D348" t="s">
        <v>931</v>
      </c>
      <c r="E348" t="str">
        <f t="shared" si="5"/>
        <v>net.bytebuddy.build.maven.ByteBuddyMojo.ForProductionTypes</v>
      </c>
      <c r="F348" t="s">
        <v>932</v>
      </c>
      <c r="G348">
        <v>251</v>
      </c>
      <c r="H348" s="3">
        <v>0</v>
      </c>
      <c r="I348" s="3">
        <f>VLOOKUP(E348,codex!$A$1:$B$358,2,0)</f>
        <v>0</v>
      </c>
    </row>
    <row r="349" spans="1:9" x14ac:dyDescent="0.25">
      <c r="A349" t="s">
        <v>18</v>
      </c>
      <c r="B349" s="3" t="s">
        <v>1295</v>
      </c>
      <c r="C349" t="s">
        <v>82</v>
      </c>
      <c r="D349" t="s">
        <v>933</v>
      </c>
      <c r="E349" t="str">
        <f t="shared" si="5"/>
        <v>com.google.zxing.common.HybridBinarizer</v>
      </c>
      <c r="F349" t="s">
        <v>934</v>
      </c>
      <c r="G349">
        <v>342</v>
      </c>
      <c r="H349" s="3">
        <v>0</v>
      </c>
      <c r="I349" s="3">
        <f>VLOOKUP(E349,codex!$A$1:$B$358,2,0)</f>
        <v>0</v>
      </c>
    </row>
    <row r="350" spans="1:9" x14ac:dyDescent="0.25">
      <c r="A350" t="s">
        <v>18</v>
      </c>
      <c r="B350" s="3" t="s">
        <v>1295</v>
      </c>
      <c r="C350" t="s">
        <v>26</v>
      </c>
      <c r="D350" t="s">
        <v>935</v>
      </c>
      <c r="E350" t="str">
        <f t="shared" si="5"/>
        <v>com.google.zxing.oned.Code128Reader</v>
      </c>
      <c r="F350" t="s">
        <v>936</v>
      </c>
      <c r="G350">
        <v>734</v>
      </c>
      <c r="H350" s="3">
        <v>0</v>
      </c>
      <c r="I350" s="3">
        <f>VLOOKUP(E350,codex!$A$1:$B$358,2,0)</f>
        <v>0</v>
      </c>
    </row>
    <row r="351" spans="1:9" x14ac:dyDescent="0.25">
      <c r="A351" t="s">
        <v>8</v>
      </c>
      <c r="B351" s="3" t="s">
        <v>1295</v>
      </c>
      <c r="C351" t="s">
        <v>937</v>
      </c>
      <c r="D351" t="s">
        <v>60</v>
      </c>
      <c r="E351" t="str">
        <f t="shared" si="5"/>
        <v>net.bytebuddy.agent.builder.ResettableClassFileTransformer.Factory</v>
      </c>
      <c r="F351" t="s">
        <v>938</v>
      </c>
      <c r="G351">
        <v>1070</v>
      </c>
      <c r="H351" s="3">
        <v>0</v>
      </c>
      <c r="I351" s="3">
        <f>VLOOKUP(E351,codex!$A$1:$B$358,2,0)</f>
        <v>0</v>
      </c>
    </row>
    <row r="352" spans="1:9" x14ac:dyDescent="0.25">
      <c r="A352" t="s">
        <v>6</v>
      </c>
      <c r="B352" s="3" t="s">
        <v>1295</v>
      </c>
      <c r="C352" t="s">
        <v>398</v>
      </c>
      <c r="D352" t="s">
        <v>939</v>
      </c>
      <c r="E352" t="str">
        <f t="shared" si="5"/>
        <v>com.github.javaparser.resolution.declarations.ResolvedRecordDeclaration</v>
      </c>
      <c r="F352" t="s">
        <v>940</v>
      </c>
      <c r="G352">
        <v>402</v>
      </c>
      <c r="H352" s="3">
        <v>0</v>
      </c>
      <c r="I352" s="3">
        <f>VLOOKUP(E352,codex!$A$1:$B$358,2,0)</f>
        <v>0</v>
      </c>
    </row>
    <row r="353" spans="1:9" x14ac:dyDescent="0.25">
      <c r="A353" t="s">
        <v>6</v>
      </c>
      <c r="B353" s="3" t="s">
        <v>1295</v>
      </c>
      <c r="C353" t="s">
        <v>70</v>
      </c>
      <c r="D353" t="s">
        <v>941</v>
      </c>
      <c r="E353" t="str">
        <f t="shared" si="5"/>
        <v>com.github.javaparser.metamodel.VariableDeclarationExprMetaModel</v>
      </c>
      <c r="F353" t="s">
        <v>942</v>
      </c>
      <c r="G353">
        <v>2253</v>
      </c>
      <c r="H353" s="3">
        <v>0</v>
      </c>
      <c r="I353" s="3">
        <f>VLOOKUP(E353,codex!$A$1:$B$358,2,0)</f>
        <v>0</v>
      </c>
    </row>
    <row r="354" spans="1:9" x14ac:dyDescent="0.25">
      <c r="A354" t="s">
        <v>34</v>
      </c>
      <c r="B354" s="3" t="s">
        <v>1295</v>
      </c>
      <c r="C354" t="s">
        <v>168</v>
      </c>
      <c r="D354" t="s">
        <v>943</v>
      </c>
      <c r="E354" t="str">
        <f t="shared" si="5"/>
        <v>org.apache.commons.lang3.time.FastDatePrinter.StringLiteral</v>
      </c>
      <c r="F354" t="s">
        <v>944</v>
      </c>
      <c r="G354">
        <v>577</v>
      </c>
      <c r="H354" s="3">
        <v>0</v>
      </c>
      <c r="I354" s="3">
        <f>VLOOKUP(E354,codex!$A$1:$B$358,2,0)</f>
        <v>0</v>
      </c>
    </row>
    <row r="355" spans="1:9" x14ac:dyDescent="0.25">
      <c r="A355" t="s">
        <v>6</v>
      </c>
      <c r="B355" s="3" t="s">
        <v>1295</v>
      </c>
      <c r="C355" t="s">
        <v>70</v>
      </c>
      <c r="D355" t="s">
        <v>945</v>
      </c>
      <c r="E355" t="str">
        <f t="shared" si="5"/>
        <v>com.github.javaparser.metamodel.SingleMemberAnnotationExprMetaModel</v>
      </c>
      <c r="F355" t="s">
        <v>946</v>
      </c>
      <c r="G355">
        <v>2244</v>
      </c>
      <c r="H355" s="3">
        <v>0</v>
      </c>
      <c r="I355" s="3">
        <f>VLOOKUP(E355,codex!$A$1:$B$358,2,0)</f>
        <v>0</v>
      </c>
    </row>
    <row r="356" spans="1:9" x14ac:dyDescent="0.25">
      <c r="A356" t="s">
        <v>8</v>
      </c>
      <c r="B356" s="3" t="s">
        <v>1295</v>
      </c>
      <c r="C356" t="s">
        <v>91</v>
      </c>
      <c r="D356" t="s">
        <v>137</v>
      </c>
      <c r="E356" t="str">
        <f t="shared" si="5"/>
        <v>net.bytebuddy.description.type.TypeDescription.LazyInterfaceList</v>
      </c>
      <c r="F356" t="s">
        <v>947</v>
      </c>
      <c r="G356">
        <v>419</v>
      </c>
      <c r="H356" s="3">
        <v>0</v>
      </c>
      <c r="I356" s="3">
        <f>VLOOKUP(E356,codex!$A$1:$B$358,2,0)</f>
        <v>0</v>
      </c>
    </row>
    <row r="357" spans="1:9" x14ac:dyDescent="0.25">
      <c r="A357" t="s">
        <v>18</v>
      </c>
      <c r="B357" s="3" t="s">
        <v>1295</v>
      </c>
      <c r="C357" t="s">
        <v>948</v>
      </c>
      <c r="D357" t="s">
        <v>949</v>
      </c>
      <c r="E357" t="str">
        <f t="shared" si="5"/>
        <v>com.google.zxing.multi.ByQuadrantReader</v>
      </c>
      <c r="F357" t="s">
        <v>950</v>
      </c>
      <c r="G357">
        <v>538</v>
      </c>
      <c r="H357" s="3">
        <v>0</v>
      </c>
      <c r="I357" s="3">
        <f>VLOOKUP(E357,codex!$A$1:$B$358,2,0)</f>
        <v>0</v>
      </c>
    </row>
    <row r="358" spans="1:9" x14ac:dyDescent="0.25">
      <c r="A358" t="s">
        <v>53</v>
      </c>
      <c r="B358" s="3" t="s">
        <v>1295</v>
      </c>
      <c r="C358" t="s">
        <v>951</v>
      </c>
      <c r="D358" t="s">
        <v>952</v>
      </c>
      <c r="E358" t="str">
        <f t="shared" si="5"/>
        <v>org.jsoup.nodes.Attributes.Dataset</v>
      </c>
      <c r="F358" t="s">
        <v>953</v>
      </c>
      <c r="G358">
        <v>455</v>
      </c>
      <c r="H358" s="3">
        <v>0</v>
      </c>
      <c r="I358" s="3">
        <f>VLOOKUP(E358,codex!$A$1:$B$358,2,0)</f>
        <v>0</v>
      </c>
    </row>
    <row r="359" spans="1:9" x14ac:dyDescent="0.25">
      <c r="A359" t="s">
        <v>14</v>
      </c>
      <c r="B359" s="3" t="s">
        <v>1295</v>
      </c>
      <c r="C359" t="s">
        <v>27</v>
      </c>
      <c r="D359" t="s">
        <v>954</v>
      </c>
      <c r="E359" t="str">
        <f t="shared" si="5"/>
        <v>org.apache.commons.io.output.TaggedWriter</v>
      </c>
      <c r="F359" t="s">
        <v>955</v>
      </c>
      <c r="G359">
        <v>287</v>
      </c>
      <c r="H359" s="3">
        <v>0</v>
      </c>
      <c r="I359" s="3">
        <f>VLOOKUP(E359,codex!$A$1:$B$358,2,0)</f>
        <v>0</v>
      </c>
    </row>
    <row r="360" spans="1:9" x14ac:dyDescent="0.25">
      <c r="A360" t="s">
        <v>18</v>
      </c>
      <c r="B360" s="3" t="s">
        <v>1295</v>
      </c>
      <c r="C360" t="s">
        <v>956</v>
      </c>
      <c r="D360" t="s">
        <v>957</v>
      </c>
      <c r="E360" t="str">
        <f t="shared" si="5"/>
        <v>com.google.zxing.client.android.result.supplement.BookResultInfoRetriever</v>
      </c>
      <c r="F360" t="s">
        <v>958</v>
      </c>
      <c r="G360">
        <v>631</v>
      </c>
      <c r="H360" s="3">
        <v>0</v>
      </c>
      <c r="I360" s="3">
        <f>VLOOKUP(E360,codex!$A$1:$B$358,2,0)</f>
        <v>0</v>
      </c>
    </row>
    <row r="361" spans="1:9" x14ac:dyDescent="0.25">
      <c r="A361" t="s">
        <v>8</v>
      </c>
      <c r="B361" s="3" t="s">
        <v>1295</v>
      </c>
      <c r="C361" t="s">
        <v>41</v>
      </c>
      <c r="D361" t="s">
        <v>959</v>
      </c>
      <c r="E361" t="str">
        <f t="shared" si="5"/>
        <v>net.bytebuddy.description.modifier.MethodStrictness</v>
      </c>
      <c r="F361" t="s">
        <v>960</v>
      </c>
      <c r="G361">
        <v>761</v>
      </c>
      <c r="H361" s="3">
        <v>0</v>
      </c>
      <c r="I361" s="3">
        <f>VLOOKUP(E361,codex!$A$1:$B$358,2,0)</f>
        <v>0</v>
      </c>
    </row>
  </sheetData>
  <autoFilter ref="A1:I361" xr:uid="{DFE58A6F-C1FA-46B4-89BF-F6B54FFFB175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717B-9504-4FDC-88C0-AE92DDE55273}">
  <dimension ref="A1:B358"/>
  <sheetViews>
    <sheetView topLeftCell="A340" workbookViewId="0">
      <selection sqref="A1:B358"/>
    </sheetView>
  </sheetViews>
  <sheetFormatPr defaultRowHeight="15" x14ac:dyDescent="0.25"/>
  <sheetData>
    <row r="1" spans="1:2" x14ac:dyDescent="0.25">
      <c r="A1" t="s">
        <v>962</v>
      </c>
      <c r="B1" s="3">
        <v>1</v>
      </c>
    </row>
    <row r="2" spans="1:2" x14ac:dyDescent="0.25">
      <c r="A2" t="s">
        <v>1056</v>
      </c>
      <c r="B2" s="3">
        <v>1</v>
      </c>
    </row>
    <row r="3" spans="1:2" x14ac:dyDescent="0.25">
      <c r="A3" t="s">
        <v>968</v>
      </c>
      <c r="B3" s="3">
        <v>1</v>
      </c>
    </row>
    <row r="4" spans="1:2" x14ac:dyDescent="0.25">
      <c r="A4" t="s">
        <v>46</v>
      </c>
      <c r="B4" s="3">
        <v>1</v>
      </c>
    </row>
    <row r="5" spans="1:2" x14ac:dyDescent="0.25">
      <c r="A5" t="s">
        <v>906</v>
      </c>
      <c r="B5" s="3">
        <v>1</v>
      </c>
    </row>
    <row r="6" spans="1:2" x14ac:dyDescent="0.25">
      <c r="A6" t="s">
        <v>1228</v>
      </c>
      <c r="B6" s="3">
        <v>1</v>
      </c>
    </row>
    <row r="7" spans="1:2" x14ac:dyDescent="0.25">
      <c r="A7" t="s">
        <v>181</v>
      </c>
      <c r="B7" s="3">
        <v>1</v>
      </c>
    </row>
    <row r="8" spans="1:2" x14ac:dyDescent="0.25">
      <c r="A8" t="s">
        <v>1180</v>
      </c>
      <c r="B8" s="3">
        <v>1</v>
      </c>
    </row>
    <row r="9" spans="1:2" x14ac:dyDescent="0.25">
      <c r="A9" t="s">
        <v>1171</v>
      </c>
      <c r="B9" s="3">
        <v>1</v>
      </c>
    </row>
    <row r="10" spans="1:2" x14ac:dyDescent="0.25">
      <c r="A10" t="s">
        <v>1144</v>
      </c>
      <c r="B10" s="3">
        <v>1</v>
      </c>
    </row>
    <row r="11" spans="1:2" x14ac:dyDescent="0.25">
      <c r="A11" t="s">
        <v>1263</v>
      </c>
      <c r="B11" s="3">
        <v>0</v>
      </c>
    </row>
    <row r="12" spans="1:2" x14ac:dyDescent="0.25">
      <c r="A12" t="s">
        <v>1250</v>
      </c>
      <c r="B12" s="3">
        <v>0</v>
      </c>
    </row>
    <row r="13" spans="1:2" x14ac:dyDescent="0.25">
      <c r="A13" t="s">
        <v>1096</v>
      </c>
      <c r="B13" s="3">
        <v>0</v>
      </c>
    </row>
    <row r="14" spans="1:2" x14ac:dyDescent="0.25">
      <c r="A14" t="s">
        <v>1067</v>
      </c>
      <c r="B14" s="3">
        <v>0</v>
      </c>
    </row>
    <row r="15" spans="1:2" x14ac:dyDescent="0.25">
      <c r="A15" t="s">
        <v>983</v>
      </c>
      <c r="B15" s="3">
        <v>0</v>
      </c>
    </row>
    <row r="16" spans="1:2" x14ac:dyDescent="0.25">
      <c r="A16" t="s">
        <v>1086</v>
      </c>
      <c r="B16" s="3">
        <v>0</v>
      </c>
    </row>
    <row r="17" spans="1:2" x14ac:dyDescent="0.25">
      <c r="A17" t="s">
        <v>1093</v>
      </c>
      <c r="B17" s="3">
        <v>0</v>
      </c>
    </row>
    <row r="18" spans="1:2" x14ac:dyDescent="0.25">
      <c r="A18" t="s">
        <v>993</v>
      </c>
      <c r="B18" s="3">
        <v>0</v>
      </c>
    </row>
    <row r="19" spans="1:2" x14ac:dyDescent="0.25">
      <c r="A19" t="s">
        <v>1023</v>
      </c>
      <c r="B19" s="3">
        <v>0</v>
      </c>
    </row>
    <row r="20" spans="1:2" x14ac:dyDescent="0.25">
      <c r="A20" t="s">
        <v>192</v>
      </c>
      <c r="B20" s="3">
        <v>0</v>
      </c>
    </row>
    <row r="21" spans="1:2" x14ac:dyDescent="0.25">
      <c r="A21" t="s">
        <v>961</v>
      </c>
      <c r="B21" s="3">
        <v>0</v>
      </c>
    </row>
    <row r="22" spans="1:2" x14ac:dyDescent="0.25">
      <c r="A22" t="s">
        <v>1255</v>
      </c>
      <c r="B22" s="3">
        <v>0</v>
      </c>
    </row>
    <row r="23" spans="1:2" x14ac:dyDescent="0.25">
      <c r="A23" t="s">
        <v>1223</v>
      </c>
      <c r="B23" s="3">
        <v>0</v>
      </c>
    </row>
    <row r="24" spans="1:2" x14ac:dyDescent="0.25">
      <c r="A24" t="s">
        <v>1132</v>
      </c>
      <c r="B24" s="3">
        <v>0</v>
      </c>
    </row>
    <row r="25" spans="1:2" x14ac:dyDescent="0.25">
      <c r="A25" t="s">
        <v>1185</v>
      </c>
      <c r="B25" s="3">
        <v>0</v>
      </c>
    </row>
    <row r="26" spans="1:2" x14ac:dyDescent="0.25">
      <c r="A26" t="s">
        <v>1025</v>
      </c>
      <c r="B26" s="3">
        <v>0</v>
      </c>
    </row>
    <row r="27" spans="1:2" x14ac:dyDescent="0.25">
      <c r="A27" t="s">
        <v>1252</v>
      </c>
      <c r="B27" s="3">
        <v>0</v>
      </c>
    </row>
    <row r="28" spans="1:2" x14ac:dyDescent="0.25">
      <c r="A28" t="s">
        <v>197</v>
      </c>
      <c r="B28" s="3">
        <v>0</v>
      </c>
    </row>
    <row r="29" spans="1:2" x14ac:dyDescent="0.25">
      <c r="A29" t="s">
        <v>1224</v>
      </c>
      <c r="B29" s="3">
        <v>0</v>
      </c>
    </row>
    <row r="30" spans="1:2" x14ac:dyDescent="0.25">
      <c r="A30" t="s">
        <v>196</v>
      </c>
      <c r="B30" s="3">
        <v>0</v>
      </c>
    </row>
    <row r="31" spans="1:2" x14ac:dyDescent="0.25">
      <c r="A31" t="s">
        <v>1177</v>
      </c>
      <c r="B31" s="3">
        <v>0</v>
      </c>
    </row>
    <row r="32" spans="1:2" x14ac:dyDescent="0.25">
      <c r="A32" t="s">
        <v>1196</v>
      </c>
      <c r="B32" s="3">
        <v>0</v>
      </c>
    </row>
    <row r="33" spans="1:2" x14ac:dyDescent="0.25">
      <c r="A33" t="s">
        <v>1076</v>
      </c>
      <c r="B33" s="3">
        <v>0</v>
      </c>
    </row>
    <row r="34" spans="1:2" x14ac:dyDescent="0.25">
      <c r="A34" t="s">
        <v>1090</v>
      </c>
      <c r="B34" s="3">
        <v>0</v>
      </c>
    </row>
    <row r="35" spans="1:2" x14ac:dyDescent="0.25">
      <c r="A35" t="s">
        <v>1057</v>
      </c>
      <c r="B35" s="3">
        <v>0</v>
      </c>
    </row>
    <row r="36" spans="1:2" x14ac:dyDescent="0.25">
      <c r="A36" t="s">
        <v>978</v>
      </c>
      <c r="B36" s="3">
        <v>0</v>
      </c>
    </row>
    <row r="37" spans="1:2" x14ac:dyDescent="0.25">
      <c r="A37" t="s">
        <v>1083</v>
      </c>
      <c r="B37" s="3">
        <v>0</v>
      </c>
    </row>
    <row r="38" spans="1:2" x14ac:dyDescent="0.25">
      <c r="A38" t="s">
        <v>1142</v>
      </c>
      <c r="B38" s="3">
        <v>0</v>
      </c>
    </row>
    <row r="39" spans="1:2" x14ac:dyDescent="0.25">
      <c r="A39" t="s">
        <v>1269</v>
      </c>
      <c r="B39" s="3">
        <v>0</v>
      </c>
    </row>
    <row r="40" spans="1:2" x14ac:dyDescent="0.25">
      <c r="A40" t="s">
        <v>991</v>
      </c>
      <c r="B40" s="3">
        <v>0</v>
      </c>
    </row>
    <row r="41" spans="1:2" x14ac:dyDescent="0.25">
      <c r="A41" t="s">
        <v>1238</v>
      </c>
      <c r="B41" s="3">
        <v>0</v>
      </c>
    </row>
    <row r="42" spans="1:2" x14ac:dyDescent="0.25">
      <c r="A42" t="s">
        <v>999</v>
      </c>
      <c r="B42" s="3">
        <v>0</v>
      </c>
    </row>
    <row r="43" spans="1:2" x14ac:dyDescent="0.25">
      <c r="A43" t="s">
        <v>1109</v>
      </c>
      <c r="B43" s="3">
        <v>0</v>
      </c>
    </row>
    <row r="44" spans="1:2" x14ac:dyDescent="0.25">
      <c r="A44" t="s">
        <v>1084</v>
      </c>
      <c r="B44" s="3">
        <v>0</v>
      </c>
    </row>
    <row r="45" spans="1:2" x14ac:dyDescent="0.25">
      <c r="A45" t="s">
        <v>1151</v>
      </c>
      <c r="B45" s="3">
        <v>0</v>
      </c>
    </row>
    <row r="46" spans="1:2" x14ac:dyDescent="0.25">
      <c r="A46" t="s">
        <v>1068</v>
      </c>
      <c r="B46" s="3">
        <v>0</v>
      </c>
    </row>
    <row r="47" spans="1:2" x14ac:dyDescent="0.25">
      <c r="A47" t="s">
        <v>1079</v>
      </c>
      <c r="B47" s="3">
        <v>0</v>
      </c>
    </row>
    <row r="48" spans="1:2" x14ac:dyDescent="0.25">
      <c r="A48" t="s">
        <v>1038</v>
      </c>
      <c r="B48" s="3">
        <v>0</v>
      </c>
    </row>
    <row r="49" spans="1:2" x14ac:dyDescent="0.25">
      <c r="A49" t="s">
        <v>1081</v>
      </c>
      <c r="B49" s="3">
        <v>0</v>
      </c>
    </row>
    <row r="50" spans="1:2" x14ac:dyDescent="0.25">
      <c r="A50" t="s">
        <v>979</v>
      </c>
      <c r="B50" s="3">
        <v>0</v>
      </c>
    </row>
    <row r="51" spans="1:2" x14ac:dyDescent="0.25">
      <c r="A51" t="s">
        <v>1193</v>
      </c>
      <c r="B51" s="3">
        <v>0</v>
      </c>
    </row>
    <row r="52" spans="1:2" x14ac:dyDescent="0.25">
      <c r="A52" t="s">
        <v>1115</v>
      </c>
      <c r="B52" s="3">
        <v>0</v>
      </c>
    </row>
    <row r="53" spans="1:2" x14ac:dyDescent="0.25">
      <c r="A53" t="s">
        <v>969</v>
      </c>
      <c r="B53" s="3">
        <v>0</v>
      </c>
    </row>
    <row r="54" spans="1:2" x14ac:dyDescent="0.25">
      <c r="A54" t="s">
        <v>1011</v>
      </c>
      <c r="B54" s="3">
        <v>0</v>
      </c>
    </row>
    <row r="55" spans="1:2" x14ac:dyDescent="0.25">
      <c r="A55" t="s">
        <v>1106</v>
      </c>
      <c r="B55" s="3">
        <v>0</v>
      </c>
    </row>
    <row r="56" spans="1:2" x14ac:dyDescent="0.25">
      <c r="A56" t="s">
        <v>973</v>
      </c>
      <c r="B56" s="3">
        <v>0</v>
      </c>
    </row>
    <row r="57" spans="1:2" x14ac:dyDescent="0.25">
      <c r="A57" t="s">
        <v>194</v>
      </c>
      <c r="B57" s="3">
        <v>0</v>
      </c>
    </row>
    <row r="58" spans="1:2" x14ac:dyDescent="0.25">
      <c r="A58" t="s">
        <v>1150</v>
      </c>
      <c r="B58" s="3">
        <v>0</v>
      </c>
    </row>
    <row r="59" spans="1:2" x14ac:dyDescent="0.25">
      <c r="A59" t="s">
        <v>1192</v>
      </c>
      <c r="B59" s="3">
        <v>0</v>
      </c>
    </row>
    <row r="60" spans="1:2" x14ac:dyDescent="0.25">
      <c r="A60" t="s">
        <v>976</v>
      </c>
      <c r="B60" s="3">
        <v>0</v>
      </c>
    </row>
    <row r="61" spans="1:2" x14ac:dyDescent="0.25">
      <c r="A61" t="s">
        <v>1066</v>
      </c>
      <c r="B61" s="3">
        <v>0</v>
      </c>
    </row>
    <row r="62" spans="1:2" x14ac:dyDescent="0.25">
      <c r="A62" t="s">
        <v>994</v>
      </c>
      <c r="B62" s="3">
        <v>0</v>
      </c>
    </row>
    <row r="63" spans="1:2" x14ac:dyDescent="0.25">
      <c r="A63" t="s">
        <v>1101</v>
      </c>
      <c r="B63" s="3">
        <v>0</v>
      </c>
    </row>
    <row r="64" spans="1:2" x14ac:dyDescent="0.25">
      <c r="A64" t="s">
        <v>1122</v>
      </c>
      <c r="B64" s="3">
        <v>0</v>
      </c>
    </row>
    <row r="65" spans="1:2" x14ac:dyDescent="0.25">
      <c r="A65" t="s">
        <v>1112</v>
      </c>
      <c r="B65" s="3">
        <v>0</v>
      </c>
    </row>
    <row r="66" spans="1:2" x14ac:dyDescent="0.25">
      <c r="A66" t="s">
        <v>1176</v>
      </c>
      <c r="B66" s="3">
        <v>1</v>
      </c>
    </row>
    <row r="67" spans="1:2" x14ac:dyDescent="0.25">
      <c r="A67" t="s">
        <v>1135</v>
      </c>
      <c r="B67" s="3">
        <v>0</v>
      </c>
    </row>
    <row r="68" spans="1:2" x14ac:dyDescent="0.25">
      <c r="A68" t="s">
        <v>1039</v>
      </c>
      <c r="B68" s="3">
        <v>0</v>
      </c>
    </row>
    <row r="69" spans="1:2" x14ac:dyDescent="0.25">
      <c r="A69" t="s">
        <v>1007</v>
      </c>
      <c r="B69" s="3">
        <v>0</v>
      </c>
    </row>
    <row r="70" spans="1:2" x14ac:dyDescent="0.25">
      <c r="A70" t="s">
        <v>1265</v>
      </c>
      <c r="B70" s="3">
        <v>0</v>
      </c>
    </row>
    <row r="71" spans="1:2" x14ac:dyDescent="0.25">
      <c r="A71" t="s">
        <v>1182</v>
      </c>
      <c r="B71" s="3">
        <v>0</v>
      </c>
    </row>
    <row r="72" spans="1:2" x14ac:dyDescent="0.25">
      <c r="A72" t="s">
        <v>1130</v>
      </c>
      <c r="B72" s="3">
        <v>0</v>
      </c>
    </row>
    <row r="73" spans="1:2" x14ac:dyDescent="0.25">
      <c r="A73" t="s">
        <v>174</v>
      </c>
      <c r="B73" s="3">
        <v>0</v>
      </c>
    </row>
    <row r="74" spans="1:2" x14ac:dyDescent="0.25">
      <c r="A74" t="s">
        <v>1242</v>
      </c>
      <c r="B74" s="3">
        <v>0</v>
      </c>
    </row>
    <row r="75" spans="1:2" x14ac:dyDescent="0.25">
      <c r="A75" t="s">
        <v>1140</v>
      </c>
      <c r="B75" s="3">
        <v>0</v>
      </c>
    </row>
    <row r="76" spans="1:2" x14ac:dyDescent="0.25">
      <c r="A76" t="s">
        <v>1214</v>
      </c>
      <c r="B76" s="3">
        <v>0</v>
      </c>
    </row>
    <row r="77" spans="1:2" x14ac:dyDescent="0.25">
      <c r="A77" t="s">
        <v>1204</v>
      </c>
      <c r="B77" s="3">
        <v>0</v>
      </c>
    </row>
    <row r="78" spans="1:2" x14ac:dyDescent="0.25">
      <c r="A78" t="s">
        <v>1232</v>
      </c>
      <c r="B78" s="3">
        <v>0</v>
      </c>
    </row>
    <row r="79" spans="1:2" x14ac:dyDescent="0.25">
      <c r="A79" t="s">
        <v>72</v>
      </c>
      <c r="B79" s="3">
        <v>1</v>
      </c>
    </row>
    <row r="80" spans="1:2" x14ac:dyDescent="0.25">
      <c r="A80" t="s">
        <v>1051</v>
      </c>
      <c r="B80" s="3">
        <v>0</v>
      </c>
    </row>
    <row r="81" spans="1:2" x14ac:dyDescent="0.25">
      <c r="A81" t="s">
        <v>198</v>
      </c>
      <c r="B81" s="3">
        <v>0</v>
      </c>
    </row>
    <row r="82" spans="1:2" x14ac:dyDescent="0.25">
      <c r="A82" t="s">
        <v>1268</v>
      </c>
      <c r="B82" s="3">
        <v>0</v>
      </c>
    </row>
    <row r="83" spans="1:2" x14ac:dyDescent="0.25">
      <c r="A83" t="s">
        <v>176</v>
      </c>
      <c r="B83" s="3">
        <v>0</v>
      </c>
    </row>
    <row r="84" spans="1:2" x14ac:dyDescent="0.25">
      <c r="A84" t="s">
        <v>977</v>
      </c>
      <c r="B84" s="3">
        <v>0</v>
      </c>
    </row>
    <row r="85" spans="1:2" x14ac:dyDescent="0.25">
      <c r="A85" t="s">
        <v>556</v>
      </c>
      <c r="B85" s="3">
        <v>0</v>
      </c>
    </row>
    <row r="86" spans="1:2" x14ac:dyDescent="0.25">
      <c r="A86" t="s">
        <v>1225</v>
      </c>
      <c r="B86" s="3">
        <v>0</v>
      </c>
    </row>
    <row r="87" spans="1:2" x14ac:dyDescent="0.25">
      <c r="A87" t="s">
        <v>1216</v>
      </c>
      <c r="B87" s="3">
        <v>0</v>
      </c>
    </row>
    <row r="88" spans="1:2" x14ac:dyDescent="0.25">
      <c r="A88" t="s">
        <v>1147</v>
      </c>
      <c r="B88" s="3">
        <v>0</v>
      </c>
    </row>
    <row r="89" spans="1:2" x14ac:dyDescent="0.25">
      <c r="A89" t="s">
        <v>1094</v>
      </c>
      <c r="B89" s="3">
        <v>0</v>
      </c>
    </row>
    <row r="90" spans="1:2" x14ac:dyDescent="0.25">
      <c r="A90" t="s">
        <v>1058</v>
      </c>
      <c r="B90" s="3">
        <v>0</v>
      </c>
    </row>
    <row r="91" spans="1:2" x14ac:dyDescent="0.25">
      <c r="A91" t="s">
        <v>1110</v>
      </c>
      <c r="B91" s="3">
        <v>0</v>
      </c>
    </row>
    <row r="92" spans="1:2" x14ac:dyDescent="0.25">
      <c r="A92" t="s">
        <v>1233</v>
      </c>
      <c r="B92" s="3">
        <v>0</v>
      </c>
    </row>
    <row r="93" spans="1:2" x14ac:dyDescent="0.25">
      <c r="A93" t="s">
        <v>1206</v>
      </c>
      <c r="B93" s="3">
        <v>0</v>
      </c>
    </row>
    <row r="94" spans="1:2" x14ac:dyDescent="0.25">
      <c r="A94" t="s">
        <v>1054</v>
      </c>
      <c r="B94" s="3">
        <v>0</v>
      </c>
    </row>
    <row r="95" spans="1:2" x14ac:dyDescent="0.25">
      <c r="A95" t="s">
        <v>1190</v>
      </c>
      <c r="B95" s="3">
        <v>0</v>
      </c>
    </row>
    <row r="96" spans="1:2" x14ac:dyDescent="0.25">
      <c r="A96" t="s">
        <v>1161</v>
      </c>
      <c r="B96" s="3">
        <v>0</v>
      </c>
    </row>
    <row r="97" spans="1:2" x14ac:dyDescent="0.25">
      <c r="A97" t="s">
        <v>1121</v>
      </c>
      <c r="B97" s="3">
        <v>0</v>
      </c>
    </row>
    <row r="98" spans="1:2" x14ac:dyDescent="0.25">
      <c r="A98" t="s">
        <v>1181</v>
      </c>
      <c r="B98" s="3">
        <v>0</v>
      </c>
    </row>
    <row r="99" spans="1:2" x14ac:dyDescent="0.25">
      <c r="A99" t="s">
        <v>1258</v>
      </c>
      <c r="B99" s="3">
        <v>0</v>
      </c>
    </row>
    <row r="100" spans="1:2" x14ac:dyDescent="0.25">
      <c r="A100" t="s">
        <v>1072</v>
      </c>
      <c r="B100" s="3">
        <v>0</v>
      </c>
    </row>
    <row r="101" spans="1:2" x14ac:dyDescent="0.25">
      <c r="A101" t="s">
        <v>1055</v>
      </c>
      <c r="B101" s="3">
        <v>0</v>
      </c>
    </row>
    <row r="102" spans="1:2" x14ac:dyDescent="0.25">
      <c r="A102" t="s">
        <v>1274</v>
      </c>
      <c r="B102" s="3">
        <v>0</v>
      </c>
    </row>
    <row r="103" spans="1:2" x14ac:dyDescent="0.25">
      <c r="A103" t="s">
        <v>1095</v>
      </c>
      <c r="B103" s="3">
        <v>0</v>
      </c>
    </row>
    <row r="104" spans="1:2" x14ac:dyDescent="0.25">
      <c r="A104" t="s">
        <v>750</v>
      </c>
      <c r="B104" s="3">
        <v>0</v>
      </c>
    </row>
    <row r="105" spans="1:2" x14ac:dyDescent="0.25">
      <c r="A105" t="s">
        <v>1125</v>
      </c>
      <c r="B105" s="3">
        <v>0</v>
      </c>
    </row>
    <row r="106" spans="1:2" x14ac:dyDescent="0.25">
      <c r="A106" t="s">
        <v>1027</v>
      </c>
      <c r="B106" s="3">
        <v>0</v>
      </c>
    </row>
    <row r="107" spans="1:2" x14ac:dyDescent="0.25">
      <c r="A107" t="s">
        <v>163</v>
      </c>
      <c r="B107" s="3">
        <v>0</v>
      </c>
    </row>
    <row r="108" spans="1:2" x14ac:dyDescent="0.25">
      <c r="A108" t="s">
        <v>1222</v>
      </c>
      <c r="B108" s="3">
        <v>0</v>
      </c>
    </row>
    <row r="109" spans="1:2" x14ac:dyDescent="0.25">
      <c r="A109" t="s">
        <v>1126</v>
      </c>
      <c r="B109" s="3">
        <v>0</v>
      </c>
    </row>
    <row r="110" spans="1:2" x14ac:dyDescent="0.25">
      <c r="A110" t="s">
        <v>1215</v>
      </c>
      <c r="B110" s="3">
        <v>0</v>
      </c>
    </row>
    <row r="111" spans="1:2" x14ac:dyDescent="0.25">
      <c r="A111" t="s">
        <v>1183</v>
      </c>
      <c r="B111" s="3">
        <v>1</v>
      </c>
    </row>
    <row r="112" spans="1:2" x14ac:dyDescent="0.25">
      <c r="A112" t="s">
        <v>1029</v>
      </c>
      <c r="B112" s="3">
        <v>0</v>
      </c>
    </row>
    <row r="113" spans="1:2" x14ac:dyDescent="0.25">
      <c r="A113" t="s">
        <v>1202</v>
      </c>
      <c r="B113" s="3">
        <v>1</v>
      </c>
    </row>
    <row r="114" spans="1:2" x14ac:dyDescent="0.25">
      <c r="A114" t="s">
        <v>1062</v>
      </c>
      <c r="B114" s="3">
        <v>0</v>
      </c>
    </row>
    <row r="115" spans="1:2" x14ac:dyDescent="0.25">
      <c r="A115" t="s">
        <v>1052</v>
      </c>
      <c r="B115" s="3">
        <v>0</v>
      </c>
    </row>
    <row r="116" spans="1:2" x14ac:dyDescent="0.25">
      <c r="A116" t="s">
        <v>1189</v>
      </c>
      <c r="B116" s="3">
        <v>0</v>
      </c>
    </row>
    <row r="117" spans="1:2" x14ac:dyDescent="0.25">
      <c r="A117" t="s">
        <v>965</v>
      </c>
      <c r="B117" s="3">
        <v>0</v>
      </c>
    </row>
    <row r="118" spans="1:2" x14ac:dyDescent="0.25">
      <c r="A118" t="s">
        <v>982</v>
      </c>
      <c r="B118" s="3">
        <v>0</v>
      </c>
    </row>
    <row r="119" spans="1:2" x14ac:dyDescent="0.25">
      <c r="A119" t="s">
        <v>1211</v>
      </c>
      <c r="B119" s="3">
        <v>0</v>
      </c>
    </row>
    <row r="120" spans="1:2" x14ac:dyDescent="0.25">
      <c r="A120" t="s">
        <v>1145</v>
      </c>
      <c r="B120" s="3">
        <v>0</v>
      </c>
    </row>
    <row r="121" spans="1:2" x14ac:dyDescent="0.25">
      <c r="A121" t="s">
        <v>1266</v>
      </c>
      <c r="B121" s="3">
        <v>0</v>
      </c>
    </row>
    <row r="122" spans="1:2" x14ac:dyDescent="0.25">
      <c r="A122" t="s">
        <v>187</v>
      </c>
      <c r="B122" s="3">
        <v>0</v>
      </c>
    </row>
    <row r="123" spans="1:2" x14ac:dyDescent="0.25">
      <c r="A123" t="s">
        <v>1100</v>
      </c>
      <c r="B123" s="3">
        <v>0</v>
      </c>
    </row>
    <row r="124" spans="1:2" x14ac:dyDescent="0.25">
      <c r="A124" t="s">
        <v>1245</v>
      </c>
      <c r="B124" s="3">
        <v>0</v>
      </c>
    </row>
    <row r="125" spans="1:2" x14ac:dyDescent="0.25">
      <c r="A125" t="s">
        <v>1271</v>
      </c>
      <c r="B125" s="3">
        <v>0</v>
      </c>
    </row>
    <row r="126" spans="1:2" x14ac:dyDescent="0.25">
      <c r="A126" t="s">
        <v>997</v>
      </c>
      <c r="B126" s="3">
        <v>1</v>
      </c>
    </row>
    <row r="127" spans="1:2" x14ac:dyDescent="0.25">
      <c r="A127" t="s">
        <v>1234</v>
      </c>
      <c r="B127" s="3">
        <v>0</v>
      </c>
    </row>
    <row r="128" spans="1:2" x14ac:dyDescent="0.25">
      <c r="A128" t="s">
        <v>1131</v>
      </c>
      <c r="B128" s="3">
        <v>0</v>
      </c>
    </row>
    <row r="129" spans="1:2" x14ac:dyDescent="0.25">
      <c r="A129" t="s">
        <v>1220</v>
      </c>
      <c r="B129" s="3">
        <v>0</v>
      </c>
    </row>
    <row r="130" spans="1:2" x14ac:dyDescent="0.25">
      <c r="A130" t="s">
        <v>1070</v>
      </c>
      <c r="B130" s="3">
        <v>0</v>
      </c>
    </row>
    <row r="131" spans="1:2" x14ac:dyDescent="0.25">
      <c r="A131" t="s">
        <v>1257</v>
      </c>
      <c r="B131" s="3">
        <v>0</v>
      </c>
    </row>
    <row r="132" spans="1:2" x14ac:dyDescent="0.25">
      <c r="A132" t="s">
        <v>1236</v>
      </c>
      <c r="B132" s="3">
        <v>0</v>
      </c>
    </row>
    <row r="133" spans="1:2" x14ac:dyDescent="0.25">
      <c r="A133" t="s">
        <v>1191</v>
      </c>
      <c r="B133" s="3">
        <v>0</v>
      </c>
    </row>
    <row r="134" spans="1:2" x14ac:dyDescent="0.25">
      <c r="A134" t="s">
        <v>1235</v>
      </c>
      <c r="B134" s="3">
        <v>0</v>
      </c>
    </row>
    <row r="135" spans="1:2" x14ac:dyDescent="0.25">
      <c r="A135" t="s">
        <v>1203</v>
      </c>
      <c r="B135" s="3">
        <v>0</v>
      </c>
    </row>
    <row r="136" spans="1:2" x14ac:dyDescent="0.25">
      <c r="A136" t="s">
        <v>1254</v>
      </c>
      <c r="B136" s="3">
        <v>0</v>
      </c>
    </row>
    <row r="137" spans="1:2" x14ac:dyDescent="0.25">
      <c r="A137" t="s">
        <v>1098</v>
      </c>
      <c r="B137" s="3">
        <v>0</v>
      </c>
    </row>
    <row r="138" spans="1:2" x14ac:dyDescent="0.25">
      <c r="A138" t="s">
        <v>188</v>
      </c>
      <c r="B138" s="3">
        <v>0</v>
      </c>
    </row>
    <row r="139" spans="1:2" x14ac:dyDescent="0.25">
      <c r="A139" t="s">
        <v>1157</v>
      </c>
      <c r="B139" s="3">
        <v>0</v>
      </c>
    </row>
    <row r="140" spans="1:2" x14ac:dyDescent="0.25">
      <c r="A140" t="s">
        <v>1020</v>
      </c>
      <c r="B140" s="3">
        <v>0</v>
      </c>
    </row>
    <row r="141" spans="1:2" x14ac:dyDescent="0.25">
      <c r="A141" t="s">
        <v>1006</v>
      </c>
      <c r="B141" s="3">
        <v>0</v>
      </c>
    </row>
    <row r="142" spans="1:2" x14ac:dyDescent="0.25">
      <c r="A142" t="s">
        <v>1118</v>
      </c>
      <c r="B142" s="3">
        <v>0</v>
      </c>
    </row>
    <row r="143" spans="1:2" x14ac:dyDescent="0.25">
      <c r="A143" t="s">
        <v>179</v>
      </c>
      <c r="B143" s="3">
        <v>1</v>
      </c>
    </row>
    <row r="144" spans="1:2" x14ac:dyDescent="0.25">
      <c r="A144" t="s">
        <v>182</v>
      </c>
      <c r="B144" s="3">
        <v>0</v>
      </c>
    </row>
    <row r="145" spans="1:2" x14ac:dyDescent="0.25">
      <c r="A145" t="s">
        <v>185</v>
      </c>
      <c r="B145" s="3">
        <v>0</v>
      </c>
    </row>
    <row r="146" spans="1:2" x14ac:dyDescent="0.25">
      <c r="A146" t="s">
        <v>1049</v>
      </c>
      <c r="B146" s="3">
        <v>0</v>
      </c>
    </row>
    <row r="147" spans="1:2" x14ac:dyDescent="0.25">
      <c r="A147" t="s">
        <v>1213</v>
      </c>
      <c r="B147" s="3">
        <v>0</v>
      </c>
    </row>
    <row r="148" spans="1:2" x14ac:dyDescent="0.25">
      <c r="A148" t="s">
        <v>1217</v>
      </c>
      <c r="B148" s="3">
        <v>0</v>
      </c>
    </row>
    <row r="149" spans="1:2" x14ac:dyDescent="0.25">
      <c r="A149" t="s">
        <v>1159</v>
      </c>
      <c r="B149" s="3">
        <v>1</v>
      </c>
    </row>
    <row r="150" spans="1:2" x14ac:dyDescent="0.25">
      <c r="A150" t="s">
        <v>1186</v>
      </c>
      <c r="B150" s="3">
        <v>0</v>
      </c>
    </row>
    <row r="151" spans="1:2" x14ac:dyDescent="0.25">
      <c r="A151" t="s">
        <v>1198</v>
      </c>
      <c r="B151" s="3">
        <v>0</v>
      </c>
    </row>
    <row r="152" spans="1:2" x14ac:dyDescent="0.25">
      <c r="A152" t="s">
        <v>1143</v>
      </c>
      <c r="B152" s="3">
        <v>0</v>
      </c>
    </row>
    <row r="153" spans="1:2" x14ac:dyDescent="0.25">
      <c r="A153" t="s">
        <v>1050</v>
      </c>
      <c r="B153" s="3">
        <v>0</v>
      </c>
    </row>
    <row r="154" spans="1:2" x14ac:dyDescent="0.25">
      <c r="A154" t="s">
        <v>1071</v>
      </c>
      <c r="B154" s="3">
        <v>0</v>
      </c>
    </row>
    <row r="155" spans="1:2" x14ac:dyDescent="0.25">
      <c r="A155" t="s">
        <v>1148</v>
      </c>
      <c r="B155" s="3">
        <v>0</v>
      </c>
    </row>
    <row r="156" spans="1:2" x14ac:dyDescent="0.25">
      <c r="A156" t="s">
        <v>1034</v>
      </c>
      <c r="B156" s="3">
        <v>0</v>
      </c>
    </row>
    <row r="157" spans="1:2" x14ac:dyDescent="0.25">
      <c r="A157" t="s">
        <v>1128</v>
      </c>
      <c r="B157" s="3">
        <v>0</v>
      </c>
    </row>
    <row r="158" spans="1:2" x14ac:dyDescent="0.25">
      <c r="A158" t="s">
        <v>1048</v>
      </c>
      <c r="B158" s="3">
        <v>0</v>
      </c>
    </row>
    <row r="159" spans="1:2" x14ac:dyDescent="0.25">
      <c r="A159" t="s">
        <v>1080</v>
      </c>
      <c r="B159" s="3">
        <v>1</v>
      </c>
    </row>
    <row r="160" spans="1:2" x14ac:dyDescent="0.25">
      <c r="A160" t="s">
        <v>1247</v>
      </c>
      <c r="B160" s="3">
        <v>1</v>
      </c>
    </row>
    <row r="161" spans="1:2" x14ac:dyDescent="0.25">
      <c r="A161" t="s">
        <v>1227</v>
      </c>
      <c r="B161" s="3">
        <v>0</v>
      </c>
    </row>
    <row r="162" spans="1:2" x14ac:dyDescent="0.25">
      <c r="A162" t="s">
        <v>975</v>
      </c>
      <c r="B162" s="3">
        <v>0</v>
      </c>
    </row>
    <row r="163" spans="1:2" x14ac:dyDescent="0.25">
      <c r="A163" t="s">
        <v>1199</v>
      </c>
      <c r="B163" s="3">
        <v>0</v>
      </c>
    </row>
    <row r="164" spans="1:2" x14ac:dyDescent="0.25">
      <c r="A164" t="s">
        <v>1137</v>
      </c>
      <c r="B164" s="3">
        <v>0</v>
      </c>
    </row>
    <row r="165" spans="1:2" x14ac:dyDescent="0.25">
      <c r="A165" t="s">
        <v>1251</v>
      </c>
      <c r="B165" s="3">
        <v>0</v>
      </c>
    </row>
    <row r="166" spans="1:2" x14ac:dyDescent="0.25">
      <c r="A166" t="s">
        <v>1024</v>
      </c>
      <c r="B166" s="3">
        <v>0</v>
      </c>
    </row>
    <row r="167" spans="1:2" x14ac:dyDescent="0.25">
      <c r="A167" t="s">
        <v>964</v>
      </c>
      <c r="B167" s="3">
        <v>0</v>
      </c>
    </row>
    <row r="168" spans="1:2" x14ac:dyDescent="0.25">
      <c r="A168" t="s">
        <v>1000</v>
      </c>
      <c r="B168" s="3">
        <v>0</v>
      </c>
    </row>
    <row r="169" spans="1:2" x14ac:dyDescent="0.25">
      <c r="A169" t="s">
        <v>1059</v>
      </c>
      <c r="B169" s="3">
        <v>0</v>
      </c>
    </row>
    <row r="170" spans="1:2" x14ac:dyDescent="0.25">
      <c r="A170" t="s">
        <v>1089</v>
      </c>
      <c r="B170" s="3">
        <v>0</v>
      </c>
    </row>
    <row r="171" spans="1:2" x14ac:dyDescent="0.25">
      <c r="A171" t="s">
        <v>1270</v>
      </c>
      <c r="B171" s="3">
        <v>0</v>
      </c>
    </row>
    <row r="172" spans="1:2" x14ac:dyDescent="0.25">
      <c r="A172" t="s">
        <v>1167</v>
      </c>
      <c r="B172" s="3">
        <v>0</v>
      </c>
    </row>
    <row r="173" spans="1:2" x14ac:dyDescent="0.25">
      <c r="A173" t="s">
        <v>1019</v>
      </c>
      <c r="B173" s="3">
        <v>0</v>
      </c>
    </row>
    <row r="174" spans="1:2" x14ac:dyDescent="0.25">
      <c r="A174" t="s">
        <v>171</v>
      </c>
      <c r="B174" s="3">
        <v>0</v>
      </c>
    </row>
    <row r="175" spans="1:2" x14ac:dyDescent="0.25">
      <c r="A175" t="s">
        <v>1060</v>
      </c>
      <c r="B175" s="3">
        <v>0</v>
      </c>
    </row>
    <row r="176" spans="1:2" x14ac:dyDescent="0.25">
      <c r="A176" t="s">
        <v>970</v>
      </c>
      <c r="B176" s="3">
        <v>0</v>
      </c>
    </row>
    <row r="177" spans="1:2" x14ac:dyDescent="0.25">
      <c r="A177" t="s">
        <v>1264</v>
      </c>
      <c r="B177" s="3">
        <v>0</v>
      </c>
    </row>
    <row r="178" spans="1:2" x14ac:dyDescent="0.25">
      <c r="A178" t="s">
        <v>1091</v>
      </c>
      <c r="B178" s="3">
        <v>0</v>
      </c>
    </row>
    <row r="179" spans="1:2" x14ac:dyDescent="0.25">
      <c r="A179" t="s">
        <v>1239</v>
      </c>
      <c r="B179" s="3">
        <v>0</v>
      </c>
    </row>
    <row r="180" spans="1:2" x14ac:dyDescent="0.25">
      <c r="A180" t="s">
        <v>1012</v>
      </c>
      <c r="B180" s="3">
        <v>0</v>
      </c>
    </row>
    <row r="181" spans="1:2" x14ac:dyDescent="0.25">
      <c r="A181" t="s">
        <v>1260</v>
      </c>
      <c r="B181" s="3">
        <v>0</v>
      </c>
    </row>
    <row r="182" spans="1:2" x14ac:dyDescent="0.25">
      <c r="A182" t="s">
        <v>1099</v>
      </c>
      <c r="B182" s="3">
        <v>0</v>
      </c>
    </row>
    <row r="183" spans="1:2" x14ac:dyDescent="0.25">
      <c r="A183" t="s">
        <v>1102</v>
      </c>
      <c r="B183" s="3">
        <v>0</v>
      </c>
    </row>
    <row r="184" spans="1:2" x14ac:dyDescent="0.25">
      <c r="A184" t="s">
        <v>1163</v>
      </c>
      <c r="B184" s="3">
        <v>0</v>
      </c>
    </row>
    <row r="185" spans="1:2" x14ac:dyDescent="0.25">
      <c r="A185" t="s">
        <v>1229</v>
      </c>
      <c r="B185" s="3">
        <v>0</v>
      </c>
    </row>
    <row r="186" spans="1:2" x14ac:dyDescent="0.25">
      <c r="A186" t="s">
        <v>1248</v>
      </c>
      <c r="B186" s="3">
        <v>0</v>
      </c>
    </row>
    <row r="187" spans="1:2" x14ac:dyDescent="0.25">
      <c r="A187" t="s">
        <v>1088</v>
      </c>
      <c r="B187" s="3">
        <v>0</v>
      </c>
    </row>
    <row r="188" spans="1:2" x14ac:dyDescent="0.25">
      <c r="A188" t="s">
        <v>1249</v>
      </c>
      <c r="B188" s="3">
        <v>0</v>
      </c>
    </row>
    <row r="189" spans="1:2" x14ac:dyDescent="0.25">
      <c r="A189" t="s">
        <v>1218</v>
      </c>
      <c r="B189" s="3">
        <v>0</v>
      </c>
    </row>
    <row r="190" spans="1:2" x14ac:dyDescent="0.25">
      <c r="A190" t="s">
        <v>403</v>
      </c>
      <c r="B190" s="3">
        <v>1</v>
      </c>
    </row>
    <row r="191" spans="1:2" x14ac:dyDescent="0.25">
      <c r="A191" t="s">
        <v>1162</v>
      </c>
      <c r="B191" s="3">
        <v>0</v>
      </c>
    </row>
    <row r="192" spans="1:2" x14ac:dyDescent="0.25">
      <c r="A192" t="s">
        <v>987</v>
      </c>
      <c r="B192" s="3">
        <v>0</v>
      </c>
    </row>
    <row r="193" spans="1:2" x14ac:dyDescent="0.25">
      <c r="A193" t="s">
        <v>1036</v>
      </c>
      <c r="B193" s="3">
        <v>0</v>
      </c>
    </row>
    <row r="194" spans="1:2" x14ac:dyDescent="0.25">
      <c r="A194" t="s">
        <v>1231</v>
      </c>
      <c r="B194" s="3">
        <v>1</v>
      </c>
    </row>
    <row r="195" spans="1:2" x14ac:dyDescent="0.25">
      <c r="A195" t="s">
        <v>193</v>
      </c>
      <c r="B195" s="3">
        <v>0</v>
      </c>
    </row>
    <row r="196" spans="1:2" x14ac:dyDescent="0.25">
      <c r="A196" t="s">
        <v>1156</v>
      </c>
      <c r="B196" s="3">
        <v>0</v>
      </c>
    </row>
    <row r="197" spans="1:2" x14ac:dyDescent="0.25">
      <c r="A197" t="s">
        <v>184</v>
      </c>
      <c r="B197" s="3">
        <v>0</v>
      </c>
    </row>
    <row r="198" spans="1:2" x14ac:dyDescent="0.25">
      <c r="A198" t="s">
        <v>1139</v>
      </c>
      <c r="B198" s="3">
        <v>0</v>
      </c>
    </row>
    <row r="199" spans="1:2" x14ac:dyDescent="0.25">
      <c r="A199" t="s">
        <v>1030</v>
      </c>
      <c r="B199" s="3">
        <v>0</v>
      </c>
    </row>
    <row r="200" spans="1:2" x14ac:dyDescent="0.25">
      <c r="A200" t="s">
        <v>1201</v>
      </c>
      <c r="B200" s="3">
        <v>0</v>
      </c>
    </row>
    <row r="201" spans="1:2" x14ac:dyDescent="0.25">
      <c r="A201" t="s">
        <v>1040</v>
      </c>
      <c r="B201" s="3">
        <v>0</v>
      </c>
    </row>
    <row r="202" spans="1:2" x14ac:dyDescent="0.25">
      <c r="A202" t="s">
        <v>1277</v>
      </c>
      <c r="B202" s="3">
        <v>0</v>
      </c>
    </row>
    <row r="203" spans="1:2" x14ac:dyDescent="0.25">
      <c r="A203" t="s">
        <v>1123</v>
      </c>
      <c r="B203" s="3">
        <v>0</v>
      </c>
    </row>
    <row r="204" spans="1:2" x14ac:dyDescent="0.25">
      <c r="A204" t="s">
        <v>1002</v>
      </c>
      <c r="B204" s="3">
        <v>0</v>
      </c>
    </row>
    <row r="205" spans="1:2" x14ac:dyDescent="0.25">
      <c r="A205" t="s">
        <v>1194</v>
      </c>
      <c r="B205" s="3">
        <v>0</v>
      </c>
    </row>
    <row r="206" spans="1:2" x14ac:dyDescent="0.25">
      <c r="A206" t="s">
        <v>1117</v>
      </c>
      <c r="B206" s="3">
        <v>0</v>
      </c>
    </row>
    <row r="207" spans="1:2" x14ac:dyDescent="0.25">
      <c r="A207" t="s">
        <v>1212</v>
      </c>
      <c r="B207" s="3">
        <v>0</v>
      </c>
    </row>
    <row r="208" spans="1:2" x14ac:dyDescent="0.25">
      <c r="A208" t="s">
        <v>1197</v>
      </c>
      <c r="B208" s="3">
        <v>0</v>
      </c>
    </row>
    <row r="209" spans="1:2" x14ac:dyDescent="0.25">
      <c r="A209" t="s">
        <v>1031</v>
      </c>
      <c r="B209" s="3">
        <v>0</v>
      </c>
    </row>
    <row r="210" spans="1:2" x14ac:dyDescent="0.25">
      <c r="A210" t="s">
        <v>996</v>
      </c>
      <c r="B210" s="3">
        <v>0</v>
      </c>
    </row>
    <row r="211" spans="1:2" x14ac:dyDescent="0.25">
      <c r="A211" t="s">
        <v>1021</v>
      </c>
      <c r="B211" s="3">
        <v>0</v>
      </c>
    </row>
    <row r="212" spans="1:2" x14ac:dyDescent="0.25">
      <c r="A212" t="s">
        <v>992</v>
      </c>
      <c r="B212" s="3">
        <v>0</v>
      </c>
    </row>
    <row r="213" spans="1:2" x14ac:dyDescent="0.25">
      <c r="A213" t="s">
        <v>995</v>
      </c>
      <c r="B213" s="3">
        <v>0</v>
      </c>
    </row>
    <row r="214" spans="1:2" x14ac:dyDescent="0.25">
      <c r="A214" t="s">
        <v>972</v>
      </c>
      <c r="B214" s="3">
        <v>0</v>
      </c>
    </row>
    <row r="215" spans="1:2" x14ac:dyDescent="0.25">
      <c r="A215" t="s">
        <v>1074</v>
      </c>
      <c r="B215" s="3">
        <v>0</v>
      </c>
    </row>
    <row r="216" spans="1:2" x14ac:dyDescent="0.25">
      <c r="A216" t="s">
        <v>1013</v>
      </c>
      <c r="B216" s="3">
        <v>0</v>
      </c>
    </row>
    <row r="217" spans="1:2" x14ac:dyDescent="0.25">
      <c r="A217" t="s">
        <v>1133</v>
      </c>
      <c r="B217" s="3">
        <v>0</v>
      </c>
    </row>
    <row r="218" spans="1:2" x14ac:dyDescent="0.25">
      <c r="A218" t="s">
        <v>1065</v>
      </c>
      <c r="B218" s="3">
        <v>1</v>
      </c>
    </row>
    <row r="219" spans="1:2" x14ac:dyDescent="0.25">
      <c r="A219" t="s">
        <v>1134</v>
      </c>
      <c r="B219" s="3">
        <v>0</v>
      </c>
    </row>
    <row r="220" spans="1:2" x14ac:dyDescent="0.25">
      <c r="A220" t="s">
        <v>1165</v>
      </c>
      <c r="B220" s="3">
        <v>0</v>
      </c>
    </row>
    <row r="221" spans="1:2" x14ac:dyDescent="0.25">
      <c r="A221" t="s">
        <v>186</v>
      </c>
      <c r="B221" s="3">
        <v>0</v>
      </c>
    </row>
    <row r="222" spans="1:2" x14ac:dyDescent="0.25">
      <c r="A222" t="s">
        <v>1187</v>
      </c>
      <c r="B222" s="3">
        <v>0</v>
      </c>
    </row>
    <row r="223" spans="1:2" x14ac:dyDescent="0.25">
      <c r="A223" t="s">
        <v>1164</v>
      </c>
      <c r="B223" s="3">
        <v>0</v>
      </c>
    </row>
    <row r="224" spans="1:2" x14ac:dyDescent="0.25">
      <c r="A224" t="s">
        <v>113</v>
      </c>
      <c r="B224" s="3">
        <v>0</v>
      </c>
    </row>
    <row r="225" spans="1:2" x14ac:dyDescent="0.25">
      <c r="A225" t="s">
        <v>1170</v>
      </c>
      <c r="B225" s="3">
        <v>0</v>
      </c>
    </row>
    <row r="226" spans="1:2" x14ac:dyDescent="0.25">
      <c r="A226" t="s">
        <v>1149</v>
      </c>
      <c r="B226" s="3">
        <v>0</v>
      </c>
    </row>
    <row r="227" spans="1:2" x14ac:dyDescent="0.25">
      <c r="A227" t="s">
        <v>1166</v>
      </c>
      <c r="B227" s="3">
        <v>0</v>
      </c>
    </row>
    <row r="228" spans="1:2" x14ac:dyDescent="0.25">
      <c r="A228" t="s">
        <v>1243</v>
      </c>
      <c r="B228" s="3">
        <v>1</v>
      </c>
    </row>
    <row r="229" spans="1:2" x14ac:dyDescent="0.25">
      <c r="A229" t="s">
        <v>1043</v>
      </c>
      <c r="B229" s="3">
        <v>0</v>
      </c>
    </row>
    <row r="230" spans="1:2" x14ac:dyDescent="0.25">
      <c r="A230" t="s">
        <v>1237</v>
      </c>
      <c r="B230" s="3">
        <v>0</v>
      </c>
    </row>
    <row r="231" spans="1:2" x14ac:dyDescent="0.25">
      <c r="A231" t="s">
        <v>1017</v>
      </c>
      <c r="B231" s="3">
        <v>0</v>
      </c>
    </row>
    <row r="232" spans="1:2" x14ac:dyDescent="0.25">
      <c r="A232" t="s">
        <v>998</v>
      </c>
      <c r="B232" s="3">
        <v>0</v>
      </c>
    </row>
    <row r="233" spans="1:2" x14ac:dyDescent="0.25">
      <c r="A233" t="s">
        <v>1146</v>
      </c>
      <c r="B233" s="3">
        <v>0</v>
      </c>
    </row>
    <row r="234" spans="1:2" x14ac:dyDescent="0.25">
      <c r="A234" t="s">
        <v>1008</v>
      </c>
      <c r="B234" s="3">
        <v>0</v>
      </c>
    </row>
    <row r="235" spans="1:2" x14ac:dyDescent="0.25">
      <c r="A235" t="s">
        <v>1092</v>
      </c>
      <c r="B235" s="3">
        <v>0</v>
      </c>
    </row>
    <row r="236" spans="1:2" x14ac:dyDescent="0.25">
      <c r="A236" t="s">
        <v>974</v>
      </c>
      <c r="B236" s="3">
        <v>0</v>
      </c>
    </row>
    <row r="237" spans="1:2" x14ac:dyDescent="0.25">
      <c r="A237" t="s">
        <v>178</v>
      </c>
      <c r="B237" s="3">
        <v>0</v>
      </c>
    </row>
    <row r="238" spans="1:2" x14ac:dyDescent="0.25">
      <c r="A238" t="s">
        <v>985</v>
      </c>
      <c r="B238" s="3">
        <v>0</v>
      </c>
    </row>
    <row r="239" spans="1:2" x14ac:dyDescent="0.25">
      <c r="A239" t="s">
        <v>967</v>
      </c>
      <c r="B239" s="3">
        <v>0</v>
      </c>
    </row>
    <row r="240" spans="1:2" x14ac:dyDescent="0.25">
      <c r="A240" t="s">
        <v>1103</v>
      </c>
      <c r="B240" s="3">
        <v>0</v>
      </c>
    </row>
    <row r="241" spans="1:2" x14ac:dyDescent="0.25">
      <c r="A241" t="s">
        <v>1141</v>
      </c>
      <c r="B241" s="3">
        <v>0</v>
      </c>
    </row>
    <row r="242" spans="1:2" x14ac:dyDescent="0.25">
      <c r="A242" t="s">
        <v>1155</v>
      </c>
      <c r="B242" s="3">
        <v>0</v>
      </c>
    </row>
    <row r="243" spans="1:2" x14ac:dyDescent="0.25">
      <c r="A243" t="s">
        <v>1047</v>
      </c>
      <c r="B243" s="3">
        <v>0</v>
      </c>
    </row>
    <row r="244" spans="1:2" x14ac:dyDescent="0.25">
      <c r="A244" t="s">
        <v>1174</v>
      </c>
      <c r="B244" s="3">
        <v>0</v>
      </c>
    </row>
    <row r="245" spans="1:2" x14ac:dyDescent="0.25">
      <c r="A245" t="s">
        <v>1032</v>
      </c>
      <c r="B245" s="3">
        <v>0</v>
      </c>
    </row>
    <row r="246" spans="1:2" x14ac:dyDescent="0.25">
      <c r="A246" t="s">
        <v>1267</v>
      </c>
      <c r="B246" s="3">
        <v>0</v>
      </c>
    </row>
    <row r="247" spans="1:2" x14ac:dyDescent="0.25">
      <c r="A247" t="s">
        <v>1278</v>
      </c>
      <c r="B247" s="3">
        <v>0</v>
      </c>
    </row>
    <row r="248" spans="1:2" x14ac:dyDescent="0.25">
      <c r="A248" t="s">
        <v>183</v>
      </c>
      <c r="B248" s="3">
        <v>0</v>
      </c>
    </row>
    <row r="249" spans="1:2" x14ac:dyDescent="0.25">
      <c r="A249" t="s">
        <v>1010</v>
      </c>
      <c r="B249" s="3">
        <v>0</v>
      </c>
    </row>
    <row r="250" spans="1:2" x14ac:dyDescent="0.25">
      <c r="A250" t="s">
        <v>1001</v>
      </c>
      <c r="B250" s="3">
        <v>0</v>
      </c>
    </row>
    <row r="251" spans="1:2" x14ac:dyDescent="0.25">
      <c r="A251" t="s">
        <v>1219</v>
      </c>
      <c r="B251" s="3">
        <v>0</v>
      </c>
    </row>
    <row r="252" spans="1:2" x14ac:dyDescent="0.25">
      <c r="A252" t="s">
        <v>1246</v>
      </c>
      <c r="B252" s="3">
        <v>0</v>
      </c>
    </row>
    <row r="253" spans="1:2" x14ac:dyDescent="0.25">
      <c r="A253" t="s">
        <v>1208</v>
      </c>
      <c r="B253" s="3">
        <v>0</v>
      </c>
    </row>
    <row r="254" spans="1:2" x14ac:dyDescent="0.25">
      <c r="A254" t="s">
        <v>444</v>
      </c>
      <c r="B254" s="3">
        <v>0</v>
      </c>
    </row>
    <row r="255" spans="1:2" x14ac:dyDescent="0.25">
      <c r="A255" t="s">
        <v>1127</v>
      </c>
      <c r="B255" s="3">
        <v>0</v>
      </c>
    </row>
    <row r="256" spans="1:2" x14ac:dyDescent="0.25">
      <c r="A256" t="s">
        <v>966</v>
      </c>
      <c r="B256" s="3">
        <v>0</v>
      </c>
    </row>
    <row r="257" spans="1:2" x14ac:dyDescent="0.25">
      <c r="A257" t="s">
        <v>1004</v>
      </c>
      <c r="B257" s="3">
        <v>0</v>
      </c>
    </row>
    <row r="258" spans="1:2" x14ac:dyDescent="0.25">
      <c r="A258" t="s">
        <v>175</v>
      </c>
      <c r="B258" s="3">
        <v>0</v>
      </c>
    </row>
    <row r="259" spans="1:2" x14ac:dyDescent="0.25">
      <c r="A259" t="s">
        <v>1241</v>
      </c>
      <c r="B259" s="3">
        <v>0</v>
      </c>
    </row>
    <row r="260" spans="1:2" x14ac:dyDescent="0.25">
      <c r="A260" t="s">
        <v>1037</v>
      </c>
      <c r="B260" s="3">
        <v>0</v>
      </c>
    </row>
    <row r="261" spans="1:2" x14ac:dyDescent="0.25">
      <c r="A261" t="s">
        <v>1279</v>
      </c>
      <c r="B261" s="3">
        <v>0</v>
      </c>
    </row>
    <row r="262" spans="1:2" x14ac:dyDescent="0.25">
      <c r="A262" t="s">
        <v>1256</v>
      </c>
      <c r="B262" s="3">
        <v>0</v>
      </c>
    </row>
    <row r="263" spans="1:2" x14ac:dyDescent="0.25">
      <c r="A263" t="s">
        <v>1045</v>
      </c>
      <c r="B263" s="3">
        <v>0</v>
      </c>
    </row>
    <row r="264" spans="1:2" x14ac:dyDescent="0.25">
      <c r="A264" t="s">
        <v>1016</v>
      </c>
      <c r="B264" s="3">
        <v>0</v>
      </c>
    </row>
    <row r="265" spans="1:2" x14ac:dyDescent="0.25">
      <c r="A265" t="s">
        <v>172</v>
      </c>
      <c r="B265" s="3">
        <v>0</v>
      </c>
    </row>
    <row r="266" spans="1:2" x14ac:dyDescent="0.25">
      <c r="A266" t="s">
        <v>1169</v>
      </c>
      <c r="B266" s="3">
        <v>0</v>
      </c>
    </row>
    <row r="267" spans="1:2" x14ac:dyDescent="0.25">
      <c r="A267" t="s">
        <v>1230</v>
      </c>
      <c r="B267" s="3">
        <v>0</v>
      </c>
    </row>
    <row r="268" spans="1:2" x14ac:dyDescent="0.25">
      <c r="A268" t="s">
        <v>1114</v>
      </c>
      <c r="B268" s="3">
        <v>0</v>
      </c>
    </row>
    <row r="269" spans="1:2" x14ac:dyDescent="0.25">
      <c r="A269" t="s">
        <v>1261</v>
      </c>
      <c r="B269" s="3">
        <v>0</v>
      </c>
    </row>
    <row r="270" spans="1:2" x14ac:dyDescent="0.25">
      <c r="A270" t="s">
        <v>1210</v>
      </c>
      <c r="B270" s="3">
        <v>0</v>
      </c>
    </row>
    <row r="271" spans="1:2" x14ac:dyDescent="0.25">
      <c r="A271" t="s">
        <v>1207</v>
      </c>
      <c r="B271" s="3">
        <v>0</v>
      </c>
    </row>
    <row r="272" spans="1:2" x14ac:dyDescent="0.25">
      <c r="A272" t="s">
        <v>1033</v>
      </c>
      <c r="B272" s="3">
        <v>0</v>
      </c>
    </row>
    <row r="273" spans="1:2" x14ac:dyDescent="0.25">
      <c r="A273" t="s">
        <v>1173</v>
      </c>
      <c r="B273" s="3">
        <v>0</v>
      </c>
    </row>
    <row r="274" spans="1:2" x14ac:dyDescent="0.25">
      <c r="A274" t="s">
        <v>1063</v>
      </c>
      <c r="B274" s="3">
        <v>0</v>
      </c>
    </row>
    <row r="275" spans="1:2" x14ac:dyDescent="0.25">
      <c r="A275" t="s">
        <v>1003</v>
      </c>
      <c r="B275" s="3">
        <v>0</v>
      </c>
    </row>
    <row r="276" spans="1:2" x14ac:dyDescent="0.25">
      <c r="A276" t="s">
        <v>1119</v>
      </c>
      <c r="B276" s="3">
        <v>0</v>
      </c>
    </row>
    <row r="277" spans="1:2" x14ac:dyDescent="0.25">
      <c r="A277" t="s">
        <v>1129</v>
      </c>
      <c r="B277" s="3">
        <v>0</v>
      </c>
    </row>
    <row r="278" spans="1:2" x14ac:dyDescent="0.25">
      <c r="A278" t="s">
        <v>1275</v>
      </c>
      <c r="B278" s="3">
        <v>0</v>
      </c>
    </row>
    <row r="279" spans="1:2" x14ac:dyDescent="0.25">
      <c r="A279" t="s">
        <v>1168</v>
      </c>
      <c r="B279" s="3">
        <v>0</v>
      </c>
    </row>
    <row r="280" spans="1:2" x14ac:dyDescent="0.25">
      <c r="A280" t="s">
        <v>1077</v>
      </c>
      <c r="B280" s="3">
        <v>0</v>
      </c>
    </row>
    <row r="281" spans="1:2" x14ac:dyDescent="0.25">
      <c r="A281" t="s">
        <v>1281</v>
      </c>
      <c r="B281" s="3">
        <v>0</v>
      </c>
    </row>
    <row r="282" spans="1:2" x14ac:dyDescent="0.25">
      <c r="A282" t="s">
        <v>1120</v>
      </c>
      <c r="B282" s="3">
        <v>0</v>
      </c>
    </row>
    <row r="283" spans="1:2" x14ac:dyDescent="0.25">
      <c r="A283" t="s">
        <v>1276</v>
      </c>
      <c r="B283" s="3">
        <v>0</v>
      </c>
    </row>
    <row r="284" spans="1:2" x14ac:dyDescent="0.25">
      <c r="A284" t="s">
        <v>1153</v>
      </c>
      <c r="B284" s="3">
        <v>0</v>
      </c>
    </row>
    <row r="285" spans="1:2" x14ac:dyDescent="0.25">
      <c r="A285" t="s">
        <v>1028</v>
      </c>
      <c r="B285" s="3">
        <v>0</v>
      </c>
    </row>
    <row r="286" spans="1:2" x14ac:dyDescent="0.25">
      <c r="A286" t="s">
        <v>1116</v>
      </c>
      <c r="B286" s="3">
        <v>0</v>
      </c>
    </row>
    <row r="287" spans="1:2" x14ac:dyDescent="0.25">
      <c r="A287" t="s">
        <v>1124</v>
      </c>
      <c r="B287" s="3">
        <v>0</v>
      </c>
    </row>
    <row r="288" spans="1:2" x14ac:dyDescent="0.25">
      <c r="A288" t="s">
        <v>1221</v>
      </c>
      <c r="B288" s="3">
        <v>0</v>
      </c>
    </row>
    <row r="289" spans="1:2" x14ac:dyDescent="0.25">
      <c r="A289" t="s">
        <v>1280</v>
      </c>
      <c r="B289" s="3">
        <v>0</v>
      </c>
    </row>
    <row r="290" spans="1:2" x14ac:dyDescent="0.25">
      <c r="A290" t="s">
        <v>1178</v>
      </c>
      <c r="B290" s="3">
        <v>0</v>
      </c>
    </row>
    <row r="291" spans="1:2" x14ac:dyDescent="0.25">
      <c r="A291" t="s">
        <v>180</v>
      </c>
      <c r="B291" s="3">
        <v>0</v>
      </c>
    </row>
    <row r="292" spans="1:2" x14ac:dyDescent="0.25">
      <c r="A292" t="s">
        <v>1195</v>
      </c>
      <c r="B292" s="3">
        <v>0</v>
      </c>
    </row>
    <row r="293" spans="1:2" x14ac:dyDescent="0.25">
      <c r="A293" t="s">
        <v>1272</v>
      </c>
      <c r="B293" s="3">
        <v>0</v>
      </c>
    </row>
    <row r="294" spans="1:2" x14ac:dyDescent="0.25">
      <c r="A294" t="s">
        <v>1035</v>
      </c>
      <c r="B294" s="3">
        <v>0</v>
      </c>
    </row>
    <row r="295" spans="1:2" x14ac:dyDescent="0.25">
      <c r="A295" t="s">
        <v>1042</v>
      </c>
      <c r="B295" s="3">
        <v>0</v>
      </c>
    </row>
    <row r="296" spans="1:2" x14ac:dyDescent="0.25">
      <c r="A296" t="s">
        <v>1104</v>
      </c>
      <c r="B296" s="3">
        <v>0</v>
      </c>
    </row>
    <row r="297" spans="1:2" x14ac:dyDescent="0.25">
      <c r="A297" t="s">
        <v>1082</v>
      </c>
      <c r="B297" s="3">
        <v>0</v>
      </c>
    </row>
    <row r="298" spans="1:2" x14ac:dyDescent="0.25">
      <c r="A298" t="s">
        <v>1078</v>
      </c>
      <c r="B298" s="3">
        <v>0</v>
      </c>
    </row>
    <row r="299" spans="1:2" x14ac:dyDescent="0.25">
      <c r="A299" t="s">
        <v>1009</v>
      </c>
      <c r="B299" s="3">
        <v>0</v>
      </c>
    </row>
    <row r="300" spans="1:2" x14ac:dyDescent="0.25">
      <c r="A300" t="s">
        <v>1073</v>
      </c>
      <c r="B300" s="3">
        <v>0</v>
      </c>
    </row>
    <row r="301" spans="1:2" x14ac:dyDescent="0.25">
      <c r="A301" t="s">
        <v>1053</v>
      </c>
      <c r="B301" s="3">
        <v>0</v>
      </c>
    </row>
    <row r="302" spans="1:2" x14ac:dyDescent="0.25">
      <c r="A302" t="s">
        <v>1209</v>
      </c>
      <c r="B302" s="3">
        <v>0</v>
      </c>
    </row>
    <row r="303" spans="1:2" x14ac:dyDescent="0.25">
      <c r="A303" t="s">
        <v>988</v>
      </c>
      <c r="B303" s="3">
        <v>0</v>
      </c>
    </row>
    <row r="304" spans="1:2" x14ac:dyDescent="0.25">
      <c r="A304" t="s">
        <v>1111</v>
      </c>
      <c r="B304" s="3">
        <v>0</v>
      </c>
    </row>
    <row r="305" spans="1:2" x14ac:dyDescent="0.25">
      <c r="A305" t="s">
        <v>1172</v>
      </c>
      <c r="B305" s="3">
        <v>0</v>
      </c>
    </row>
    <row r="306" spans="1:2" x14ac:dyDescent="0.25">
      <c r="A306" t="s">
        <v>1108</v>
      </c>
      <c r="B306" s="3">
        <v>0</v>
      </c>
    </row>
    <row r="307" spans="1:2" x14ac:dyDescent="0.25">
      <c r="A307" t="s">
        <v>1273</v>
      </c>
      <c r="B307" s="3">
        <v>0</v>
      </c>
    </row>
    <row r="308" spans="1:2" x14ac:dyDescent="0.25">
      <c r="A308" t="s">
        <v>1136</v>
      </c>
      <c r="B308" s="3">
        <v>0</v>
      </c>
    </row>
    <row r="309" spans="1:2" x14ac:dyDescent="0.25">
      <c r="A309" t="s">
        <v>1188</v>
      </c>
      <c r="B309" s="3">
        <v>0</v>
      </c>
    </row>
    <row r="310" spans="1:2" x14ac:dyDescent="0.25">
      <c r="A310" t="s">
        <v>1018</v>
      </c>
      <c r="B310" s="3">
        <v>0</v>
      </c>
    </row>
    <row r="311" spans="1:2" x14ac:dyDescent="0.25">
      <c r="A311" t="s">
        <v>971</v>
      </c>
      <c r="B311" s="3">
        <v>0</v>
      </c>
    </row>
    <row r="312" spans="1:2" x14ac:dyDescent="0.25">
      <c r="A312" t="s">
        <v>986</v>
      </c>
      <c r="B312" s="3">
        <v>0</v>
      </c>
    </row>
    <row r="313" spans="1:2" x14ac:dyDescent="0.25">
      <c r="A313" t="s">
        <v>1041</v>
      </c>
      <c r="B313" s="3">
        <v>0</v>
      </c>
    </row>
    <row r="314" spans="1:2" x14ac:dyDescent="0.25">
      <c r="A314" t="s">
        <v>1061</v>
      </c>
      <c r="B314" s="3">
        <v>0</v>
      </c>
    </row>
    <row r="315" spans="1:2" x14ac:dyDescent="0.25">
      <c r="A315" t="s">
        <v>1158</v>
      </c>
      <c r="B315" s="3">
        <v>0</v>
      </c>
    </row>
    <row r="316" spans="1:2" x14ac:dyDescent="0.25">
      <c r="A316" t="s">
        <v>1184</v>
      </c>
      <c r="B316" s="3">
        <v>0</v>
      </c>
    </row>
    <row r="317" spans="1:2" x14ac:dyDescent="0.25">
      <c r="A317" t="s">
        <v>1138</v>
      </c>
      <c r="B317" s="3">
        <v>0</v>
      </c>
    </row>
    <row r="318" spans="1:2" x14ac:dyDescent="0.25">
      <c r="A318" t="s">
        <v>1022</v>
      </c>
      <c r="B318" s="3">
        <v>0</v>
      </c>
    </row>
    <row r="319" spans="1:2" x14ac:dyDescent="0.25">
      <c r="A319" t="s">
        <v>1087</v>
      </c>
      <c r="B319" s="3">
        <v>0</v>
      </c>
    </row>
    <row r="320" spans="1:2" x14ac:dyDescent="0.25">
      <c r="A320" t="s">
        <v>1179</v>
      </c>
      <c r="B320" s="3">
        <v>0</v>
      </c>
    </row>
    <row r="321" spans="1:2" x14ac:dyDescent="0.25">
      <c r="A321" t="s">
        <v>116</v>
      </c>
      <c r="B321" s="3">
        <v>0</v>
      </c>
    </row>
    <row r="322" spans="1:2" x14ac:dyDescent="0.25">
      <c r="A322" t="s">
        <v>1113</v>
      </c>
      <c r="B322" s="3">
        <v>0</v>
      </c>
    </row>
    <row r="323" spans="1:2" x14ac:dyDescent="0.25">
      <c r="A323" t="s">
        <v>173</v>
      </c>
      <c r="B323" s="3">
        <v>0</v>
      </c>
    </row>
    <row r="324" spans="1:2" x14ac:dyDescent="0.25">
      <c r="A324" t="s">
        <v>1015</v>
      </c>
      <c r="B324" s="3">
        <v>0</v>
      </c>
    </row>
    <row r="325" spans="1:2" x14ac:dyDescent="0.25">
      <c r="A325" t="s">
        <v>1175</v>
      </c>
      <c r="B325" s="3">
        <v>0</v>
      </c>
    </row>
    <row r="326" spans="1:2" x14ac:dyDescent="0.25">
      <c r="A326" t="s">
        <v>1240</v>
      </c>
      <c r="B326" s="3">
        <v>0</v>
      </c>
    </row>
    <row r="327" spans="1:2" x14ac:dyDescent="0.25">
      <c r="A327" t="s">
        <v>1026</v>
      </c>
      <c r="B327" s="3">
        <v>0</v>
      </c>
    </row>
    <row r="328" spans="1:2" x14ac:dyDescent="0.25">
      <c r="A328" t="s">
        <v>1044</v>
      </c>
      <c r="B328" s="3">
        <v>0</v>
      </c>
    </row>
    <row r="329" spans="1:2" x14ac:dyDescent="0.25">
      <c r="A329" t="s">
        <v>984</v>
      </c>
      <c r="B329" s="3">
        <v>0</v>
      </c>
    </row>
    <row r="330" spans="1:2" x14ac:dyDescent="0.25">
      <c r="A330" t="s">
        <v>1014</v>
      </c>
      <c r="B330" s="3">
        <v>0</v>
      </c>
    </row>
    <row r="331" spans="1:2" x14ac:dyDescent="0.25">
      <c r="A331" t="s">
        <v>1105</v>
      </c>
      <c r="B331" s="3">
        <v>0</v>
      </c>
    </row>
    <row r="332" spans="1:2" x14ac:dyDescent="0.25">
      <c r="A332" t="s">
        <v>1069</v>
      </c>
      <c r="B332" s="3">
        <v>0</v>
      </c>
    </row>
    <row r="333" spans="1:2" x14ac:dyDescent="0.25">
      <c r="A333" t="s">
        <v>177</v>
      </c>
      <c r="B333" s="3">
        <v>0</v>
      </c>
    </row>
    <row r="334" spans="1:2" x14ac:dyDescent="0.25">
      <c r="A334" t="s">
        <v>980</v>
      </c>
      <c r="B334" s="3">
        <v>0</v>
      </c>
    </row>
    <row r="335" spans="1:2" x14ac:dyDescent="0.25">
      <c r="A335" t="s">
        <v>1046</v>
      </c>
      <c r="B335" s="3">
        <v>0</v>
      </c>
    </row>
    <row r="336" spans="1:2" x14ac:dyDescent="0.25">
      <c r="A336" t="s">
        <v>195</v>
      </c>
      <c r="B336" s="3">
        <v>0</v>
      </c>
    </row>
    <row r="337" spans="1:2" x14ac:dyDescent="0.25">
      <c r="A337" t="s">
        <v>199</v>
      </c>
      <c r="B337" s="3">
        <v>0</v>
      </c>
    </row>
    <row r="338" spans="1:2" x14ac:dyDescent="0.25">
      <c r="A338" t="s">
        <v>1205</v>
      </c>
      <c r="B338" s="3">
        <v>0</v>
      </c>
    </row>
    <row r="339" spans="1:2" x14ac:dyDescent="0.25">
      <c r="A339" t="s">
        <v>1005</v>
      </c>
      <c r="B339" s="3">
        <v>0</v>
      </c>
    </row>
    <row r="340" spans="1:2" x14ac:dyDescent="0.25">
      <c r="A340" t="s">
        <v>1075</v>
      </c>
      <c r="B340" s="3">
        <v>0</v>
      </c>
    </row>
    <row r="341" spans="1:2" x14ac:dyDescent="0.25">
      <c r="A341" t="s">
        <v>1097</v>
      </c>
      <c r="B341" s="3">
        <v>0</v>
      </c>
    </row>
    <row r="342" spans="1:2" x14ac:dyDescent="0.25">
      <c r="A342" t="s">
        <v>1200</v>
      </c>
      <c r="B342" s="3">
        <v>0</v>
      </c>
    </row>
    <row r="343" spans="1:2" x14ac:dyDescent="0.25">
      <c r="A343" t="s">
        <v>989</v>
      </c>
      <c r="B343" s="3">
        <v>0</v>
      </c>
    </row>
    <row r="344" spans="1:2" x14ac:dyDescent="0.25">
      <c r="A344" t="s">
        <v>1064</v>
      </c>
      <c r="B344" s="3">
        <v>0</v>
      </c>
    </row>
    <row r="345" spans="1:2" x14ac:dyDescent="0.25">
      <c r="A345" t="s">
        <v>981</v>
      </c>
      <c r="B345" s="3">
        <v>0</v>
      </c>
    </row>
    <row r="346" spans="1:2" x14ac:dyDescent="0.25">
      <c r="A346" t="s">
        <v>1253</v>
      </c>
      <c r="B346" s="3">
        <v>0</v>
      </c>
    </row>
    <row r="347" spans="1:2" x14ac:dyDescent="0.25">
      <c r="A347" t="s">
        <v>1262</v>
      </c>
      <c r="B347" s="3">
        <v>0</v>
      </c>
    </row>
    <row r="348" spans="1:2" x14ac:dyDescent="0.25">
      <c r="A348" t="s">
        <v>963</v>
      </c>
      <c r="B348" s="3">
        <v>0</v>
      </c>
    </row>
    <row r="349" spans="1:2" x14ac:dyDescent="0.25">
      <c r="A349" t="s">
        <v>1160</v>
      </c>
      <c r="B349" s="3">
        <v>0</v>
      </c>
    </row>
    <row r="350" spans="1:2" x14ac:dyDescent="0.25">
      <c r="A350" t="s">
        <v>1154</v>
      </c>
      <c r="B350" s="3">
        <v>0</v>
      </c>
    </row>
    <row r="351" spans="1:2" x14ac:dyDescent="0.25">
      <c r="A351" t="s">
        <v>1107</v>
      </c>
      <c r="B351" s="3">
        <v>0</v>
      </c>
    </row>
    <row r="352" spans="1:2" x14ac:dyDescent="0.25">
      <c r="A352" t="s">
        <v>1152</v>
      </c>
      <c r="B352" s="3">
        <v>0</v>
      </c>
    </row>
    <row r="353" spans="1:2" x14ac:dyDescent="0.25">
      <c r="A353" t="s">
        <v>189</v>
      </c>
      <c r="B353" s="3">
        <v>0</v>
      </c>
    </row>
    <row r="354" spans="1:2" x14ac:dyDescent="0.25">
      <c r="A354" t="s">
        <v>1259</v>
      </c>
      <c r="B354" s="3">
        <v>0</v>
      </c>
    </row>
    <row r="355" spans="1:2" x14ac:dyDescent="0.25">
      <c r="A355" t="s">
        <v>1226</v>
      </c>
      <c r="B355" s="3">
        <v>0</v>
      </c>
    </row>
    <row r="356" spans="1:2" x14ac:dyDescent="0.25">
      <c r="A356" t="s">
        <v>1085</v>
      </c>
      <c r="B356" s="3">
        <v>0</v>
      </c>
    </row>
    <row r="357" spans="1:2" x14ac:dyDescent="0.25">
      <c r="A357" t="s">
        <v>1244</v>
      </c>
      <c r="B357" s="3">
        <v>0</v>
      </c>
    </row>
    <row r="358" spans="1:2" x14ac:dyDescent="0.25">
      <c r="A358" t="s">
        <v>990</v>
      </c>
      <c r="B358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samples</vt:lpstr>
      <vt:lpstr>codex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Nunes</dc:creator>
  <cp:lastModifiedBy>Henrique Nunes</cp:lastModifiedBy>
  <dcterms:created xsi:type="dcterms:W3CDTF">2026-03-02T18:09:15Z</dcterms:created>
  <dcterms:modified xsi:type="dcterms:W3CDTF">2026-05-29T13:39:45Z</dcterms:modified>
</cp:coreProperties>
</file>