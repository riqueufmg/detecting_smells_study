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dalhousie\Desktop\results\rq4\"/>
    </mc:Choice>
  </mc:AlternateContent>
  <xr:revisionPtr revIDLastSave="0" documentId="13_ncr:1_{90E44E6D-3838-494C-BAC5-B35ABA1D35A6}" xr6:coauthVersionLast="47" xr6:coauthVersionMax="47" xr10:uidLastSave="{00000000-0000-0000-0000-000000000000}"/>
  <bookViews>
    <workbookView xWindow="-120" yWindow="-120" windowWidth="20730" windowHeight="11040" xr2:uid="{224DE752-32BA-41E5-87FE-F548AE47B642}"/>
  </bookViews>
  <sheets>
    <sheet name="samples" sheetId="1" r:id="rId1"/>
    <sheet name="codex" sheetId="6" r:id="rId2"/>
  </sheets>
  <definedNames>
    <definedName name="_xlnm._FilterDatabase" localSheetId="0" hidden="1">samples!$A$1:$I$361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 i="1" l="1"/>
  <c r="L8" i="1"/>
  <c r="L7" i="1"/>
  <c r="L9" i="1" s="1"/>
  <c r="L2" i="1"/>
  <c r="L3" i="1"/>
  <c r="L4" i="1"/>
  <c r="L5" i="1"/>
  <c r="E3" i="1"/>
  <c r="I3" i="1" s="1"/>
  <c r="E4" i="1"/>
  <c r="I4" i="1" s="1"/>
  <c r="E5" i="1"/>
  <c r="I5" i="1" s="1"/>
  <c r="E6" i="1"/>
  <c r="I6" i="1" s="1"/>
  <c r="E7" i="1"/>
  <c r="I7" i="1" s="1"/>
  <c r="E8" i="1"/>
  <c r="I8" i="1" s="1"/>
  <c r="E9" i="1"/>
  <c r="I9" i="1" s="1"/>
  <c r="E10" i="1"/>
  <c r="I10" i="1" s="1"/>
  <c r="E11" i="1"/>
  <c r="I11" i="1" s="1"/>
  <c r="E12" i="1"/>
  <c r="I12" i="1" s="1"/>
  <c r="E13" i="1"/>
  <c r="I13" i="1" s="1"/>
  <c r="E14" i="1"/>
  <c r="I14" i="1" s="1"/>
  <c r="E15" i="1"/>
  <c r="I15" i="1" s="1"/>
  <c r="E16" i="1"/>
  <c r="I16" i="1" s="1"/>
  <c r="E17" i="1"/>
  <c r="I17" i="1" s="1"/>
  <c r="E18" i="1"/>
  <c r="I18" i="1" s="1"/>
  <c r="E19" i="1"/>
  <c r="I19" i="1" s="1"/>
  <c r="E20" i="1"/>
  <c r="I20" i="1" s="1"/>
  <c r="E21" i="1"/>
  <c r="I21" i="1" s="1"/>
  <c r="E22" i="1"/>
  <c r="I22" i="1" s="1"/>
  <c r="E23" i="1"/>
  <c r="I23" i="1" s="1"/>
  <c r="E24" i="1"/>
  <c r="I24" i="1" s="1"/>
  <c r="E25" i="1"/>
  <c r="I25" i="1" s="1"/>
  <c r="E26" i="1"/>
  <c r="I26" i="1" s="1"/>
  <c r="E27" i="1"/>
  <c r="I27" i="1" s="1"/>
  <c r="E28" i="1"/>
  <c r="I28" i="1" s="1"/>
  <c r="E29" i="1"/>
  <c r="I29" i="1" s="1"/>
  <c r="E30" i="1"/>
  <c r="I30" i="1" s="1"/>
  <c r="E31" i="1"/>
  <c r="I31" i="1" s="1"/>
  <c r="E32" i="1"/>
  <c r="I32" i="1" s="1"/>
  <c r="E33" i="1"/>
  <c r="I33" i="1" s="1"/>
  <c r="E34" i="1"/>
  <c r="I34" i="1" s="1"/>
  <c r="E35" i="1"/>
  <c r="I35" i="1" s="1"/>
  <c r="E36" i="1"/>
  <c r="I36" i="1" s="1"/>
  <c r="E37" i="1"/>
  <c r="I37" i="1" s="1"/>
  <c r="E38" i="1"/>
  <c r="I38" i="1" s="1"/>
  <c r="E39" i="1"/>
  <c r="I39" i="1" s="1"/>
  <c r="E40" i="1"/>
  <c r="I40" i="1" s="1"/>
  <c r="E41" i="1"/>
  <c r="I41" i="1" s="1"/>
  <c r="E42" i="1"/>
  <c r="I42" i="1" s="1"/>
  <c r="E43" i="1"/>
  <c r="I43" i="1" s="1"/>
  <c r="E44" i="1"/>
  <c r="I44" i="1" s="1"/>
  <c r="E45" i="1"/>
  <c r="I45" i="1" s="1"/>
  <c r="E46" i="1"/>
  <c r="I46" i="1" s="1"/>
  <c r="E47" i="1"/>
  <c r="I47" i="1" s="1"/>
  <c r="E48" i="1"/>
  <c r="I48" i="1" s="1"/>
  <c r="E49" i="1"/>
  <c r="I49" i="1" s="1"/>
  <c r="E50" i="1"/>
  <c r="I50" i="1" s="1"/>
  <c r="E51" i="1"/>
  <c r="I51" i="1" s="1"/>
  <c r="E52" i="1"/>
  <c r="I52" i="1" s="1"/>
  <c r="E53" i="1"/>
  <c r="I53" i="1" s="1"/>
  <c r="E54" i="1"/>
  <c r="I54" i="1" s="1"/>
  <c r="E55" i="1"/>
  <c r="I55" i="1" s="1"/>
  <c r="E56" i="1"/>
  <c r="I56" i="1" s="1"/>
  <c r="E57" i="1"/>
  <c r="I57" i="1" s="1"/>
  <c r="E58" i="1"/>
  <c r="I58" i="1" s="1"/>
  <c r="E59" i="1"/>
  <c r="I59" i="1" s="1"/>
  <c r="E60" i="1"/>
  <c r="I60" i="1" s="1"/>
  <c r="E61" i="1"/>
  <c r="I61" i="1" s="1"/>
  <c r="E62" i="1"/>
  <c r="I62" i="1" s="1"/>
  <c r="E63" i="1"/>
  <c r="I63" i="1" s="1"/>
  <c r="E64" i="1"/>
  <c r="I64" i="1" s="1"/>
  <c r="E65" i="1"/>
  <c r="I65" i="1" s="1"/>
  <c r="E66" i="1"/>
  <c r="I66" i="1" s="1"/>
  <c r="E67" i="1"/>
  <c r="I67" i="1" s="1"/>
  <c r="E68" i="1"/>
  <c r="I68" i="1" s="1"/>
  <c r="E69" i="1"/>
  <c r="I69" i="1" s="1"/>
  <c r="E70" i="1"/>
  <c r="I70" i="1" s="1"/>
  <c r="E71" i="1"/>
  <c r="I71" i="1" s="1"/>
  <c r="E72" i="1"/>
  <c r="I72" i="1" s="1"/>
  <c r="E73" i="1"/>
  <c r="I73" i="1" s="1"/>
  <c r="E74" i="1"/>
  <c r="I74" i="1" s="1"/>
  <c r="E75" i="1"/>
  <c r="I75" i="1" s="1"/>
  <c r="E76" i="1"/>
  <c r="I76" i="1" s="1"/>
  <c r="E77" i="1"/>
  <c r="I77" i="1" s="1"/>
  <c r="E78" i="1"/>
  <c r="I78" i="1" s="1"/>
  <c r="E79" i="1"/>
  <c r="I79" i="1" s="1"/>
  <c r="E80" i="1"/>
  <c r="I80" i="1" s="1"/>
  <c r="E81" i="1"/>
  <c r="I81" i="1" s="1"/>
  <c r="E82" i="1"/>
  <c r="I82" i="1" s="1"/>
  <c r="E83" i="1"/>
  <c r="I83" i="1" s="1"/>
  <c r="E84" i="1"/>
  <c r="I84" i="1" s="1"/>
  <c r="E85" i="1"/>
  <c r="I85" i="1" s="1"/>
  <c r="E86" i="1"/>
  <c r="I86" i="1" s="1"/>
  <c r="E87" i="1"/>
  <c r="I87" i="1" s="1"/>
  <c r="E88" i="1"/>
  <c r="I88" i="1" s="1"/>
  <c r="E89" i="1"/>
  <c r="I89" i="1" s="1"/>
  <c r="E90" i="1"/>
  <c r="I90" i="1" s="1"/>
  <c r="E91" i="1"/>
  <c r="I91" i="1" s="1"/>
  <c r="E92" i="1"/>
  <c r="I92" i="1" s="1"/>
  <c r="E93" i="1"/>
  <c r="I93" i="1" s="1"/>
  <c r="E94" i="1"/>
  <c r="I94" i="1" s="1"/>
  <c r="E95" i="1"/>
  <c r="I95" i="1" s="1"/>
  <c r="E96" i="1"/>
  <c r="I96" i="1" s="1"/>
  <c r="E97" i="1"/>
  <c r="I97" i="1" s="1"/>
  <c r="E98" i="1"/>
  <c r="I98" i="1" s="1"/>
  <c r="E99" i="1"/>
  <c r="I99" i="1" s="1"/>
  <c r="E100" i="1"/>
  <c r="I100" i="1" s="1"/>
  <c r="E101" i="1"/>
  <c r="I101" i="1" s="1"/>
  <c r="E102" i="1"/>
  <c r="I102" i="1" s="1"/>
  <c r="E103" i="1"/>
  <c r="I103" i="1" s="1"/>
  <c r="E104" i="1"/>
  <c r="I104" i="1" s="1"/>
  <c r="E105" i="1"/>
  <c r="I105" i="1" s="1"/>
  <c r="E106" i="1"/>
  <c r="I106" i="1" s="1"/>
  <c r="E107" i="1"/>
  <c r="I107" i="1" s="1"/>
  <c r="E108" i="1"/>
  <c r="I108" i="1" s="1"/>
  <c r="E109" i="1"/>
  <c r="I109" i="1" s="1"/>
  <c r="E110" i="1"/>
  <c r="I110" i="1" s="1"/>
  <c r="E111" i="1"/>
  <c r="I111" i="1" s="1"/>
  <c r="E112" i="1"/>
  <c r="I112" i="1" s="1"/>
  <c r="E113" i="1"/>
  <c r="I113" i="1" s="1"/>
  <c r="E114" i="1"/>
  <c r="I114" i="1" s="1"/>
  <c r="E115" i="1"/>
  <c r="I115" i="1" s="1"/>
  <c r="E116" i="1"/>
  <c r="I116" i="1" s="1"/>
  <c r="E117" i="1"/>
  <c r="I117" i="1" s="1"/>
  <c r="E118" i="1"/>
  <c r="I118" i="1" s="1"/>
  <c r="E119" i="1"/>
  <c r="I119" i="1" s="1"/>
  <c r="E120" i="1"/>
  <c r="I120" i="1" s="1"/>
  <c r="E121" i="1"/>
  <c r="I121" i="1" s="1"/>
  <c r="E122" i="1"/>
  <c r="I122" i="1" s="1"/>
  <c r="E123" i="1"/>
  <c r="I123" i="1" s="1"/>
  <c r="E124" i="1"/>
  <c r="I124" i="1" s="1"/>
  <c r="E125" i="1"/>
  <c r="I125" i="1" s="1"/>
  <c r="E126" i="1"/>
  <c r="I126" i="1" s="1"/>
  <c r="E127" i="1"/>
  <c r="I127" i="1" s="1"/>
  <c r="E128" i="1"/>
  <c r="I128" i="1" s="1"/>
  <c r="E129" i="1"/>
  <c r="I129" i="1" s="1"/>
  <c r="E130" i="1"/>
  <c r="I130" i="1" s="1"/>
  <c r="E131" i="1"/>
  <c r="I131" i="1" s="1"/>
  <c r="E132" i="1"/>
  <c r="I132" i="1" s="1"/>
  <c r="E133" i="1"/>
  <c r="I133" i="1" s="1"/>
  <c r="E134" i="1"/>
  <c r="I134" i="1" s="1"/>
  <c r="E135" i="1"/>
  <c r="I135" i="1" s="1"/>
  <c r="E136" i="1"/>
  <c r="I136" i="1" s="1"/>
  <c r="E137" i="1"/>
  <c r="I137" i="1" s="1"/>
  <c r="E138" i="1"/>
  <c r="I138" i="1" s="1"/>
  <c r="E139" i="1"/>
  <c r="I139" i="1" s="1"/>
  <c r="E140" i="1"/>
  <c r="I140" i="1" s="1"/>
  <c r="E141" i="1"/>
  <c r="I141" i="1" s="1"/>
  <c r="E142" i="1"/>
  <c r="I142" i="1" s="1"/>
  <c r="E143" i="1"/>
  <c r="I143" i="1" s="1"/>
  <c r="E144" i="1"/>
  <c r="I144" i="1" s="1"/>
  <c r="E145" i="1"/>
  <c r="I145" i="1" s="1"/>
  <c r="E146" i="1"/>
  <c r="I146" i="1" s="1"/>
  <c r="E147" i="1"/>
  <c r="I147" i="1" s="1"/>
  <c r="E148" i="1"/>
  <c r="I148" i="1" s="1"/>
  <c r="E149" i="1"/>
  <c r="I149" i="1" s="1"/>
  <c r="E150" i="1"/>
  <c r="I150" i="1" s="1"/>
  <c r="E151" i="1"/>
  <c r="I151" i="1" s="1"/>
  <c r="E152" i="1"/>
  <c r="I152" i="1" s="1"/>
  <c r="E153" i="1"/>
  <c r="I153" i="1" s="1"/>
  <c r="E154" i="1"/>
  <c r="I154" i="1" s="1"/>
  <c r="E155" i="1"/>
  <c r="I155" i="1" s="1"/>
  <c r="E156" i="1"/>
  <c r="I156" i="1" s="1"/>
  <c r="E157" i="1"/>
  <c r="I157" i="1" s="1"/>
  <c r="E158" i="1"/>
  <c r="I158" i="1" s="1"/>
  <c r="E159" i="1"/>
  <c r="I159" i="1" s="1"/>
  <c r="E160" i="1"/>
  <c r="I160" i="1" s="1"/>
  <c r="E161" i="1"/>
  <c r="I161" i="1" s="1"/>
  <c r="E162" i="1"/>
  <c r="I162" i="1" s="1"/>
  <c r="E163" i="1"/>
  <c r="I163" i="1" s="1"/>
  <c r="E164" i="1"/>
  <c r="I164" i="1" s="1"/>
  <c r="E165" i="1"/>
  <c r="I165" i="1" s="1"/>
  <c r="E166" i="1"/>
  <c r="I166" i="1" s="1"/>
  <c r="E167" i="1"/>
  <c r="I167" i="1" s="1"/>
  <c r="E168" i="1"/>
  <c r="I168" i="1" s="1"/>
  <c r="E169" i="1"/>
  <c r="I169" i="1" s="1"/>
  <c r="E170" i="1"/>
  <c r="I170" i="1" s="1"/>
  <c r="E171" i="1"/>
  <c r="I171" i="1" s="1"/>
  <c r="E172" i="1"/>
  <c r="I172" i="1" s="1"/>
  <c r="E173" i="1"/>
  <c r="I173" i="1" s="1"/>
  <c r="E174" i="1"/>
  <c r="I174" i="1" s="1"/>
  <c r="E175" i="1"/>
  <c r="I175" i="1" s="1"/>
  <c r="E176" i="1"/>
  <c r="I176" i="1" s="1"/>
  <c r="E177" i="1"/>
  <c r="I177" i="1" s="1"/>
  <c r="E178" i="1"/>
  <c r="I178" i="1" s="1"/>
  <c r="E179" i="1"/>
  <c r="I179" i="1" s="1"/>
  <c r="E180" i="1"/>
  <c r="I180" i="1" s="1"/>
  <c r="E181" i="1"/>
  <c r="I181" i="1" s="1"/>
  <c r="E182" i="1"/>
  <c r="I182" i="1" s="1"/>
  <c r="E183" i="1"/>
  <c r="I183" i="1" s="1"/>
  <c r="E184" i="1"/>
  <c r="I184" i="1" s="1"/>
  <c r="E185" i="1"/>
  <c r="I185" i="1" s="1"/>
  <c r="E186" i="1"/>
  <c r="I186" i="1" s="1"/>
  <c r="E187" i="1"/>
  <c r="I187" i="1" s="1"/>
  <c r="E188" i="1"/>
  <c r="I188" i="1" s="1"/>
  <c r="E189" i="1"/>
  <c r="I189" i="1" s="1"/>
  <c r="E190" i="1"/>
  <c r="I190" i="1" s="1"/>
  <c r="E191" i="1"/>
  <c r="I191" i="1" s="1"/>
  <c r="E192" i="1"/>
  <c r="I192" i="1" s="1"/>
  <c r="E193" i="1"/>
  <c r="I193" i="1" s="1"/>
  <c r="E194" i="1"/>
  <c r="I194" i="1" s="1"/>
  <c r="E195" i="1"/>
  <c r="I195" i="1" s="1"/>
  <c r="E196" i="1"/>
  <c r="I196" i="1" s="1"/>
  <c r="E197" i="1"/>
  <c r="I197" i="1" s="1"/>
  <c r="E198" i="1"/>
  <c r="I198" i="1" s="1"/>
  <c r="E199" i="1"/>
  <c r="I199" i="1" s="1"/>
  <c r="E200" i="1"/>
  <c r="I200" i="1" s="1"/>
  <c r="E201" i="1"/>
  <c r="I201" i="1" s="1"/>
  <c r="E202" i="1"/>
  <c r="I202" i="1" s="1"/>
  <c r="E203" i="1"/>
  <c r="I203" i="1" s="1"/>
  <c r="E204" i="1"/>
  <c r="I204" i="1" s="1"/>
  <c r="E205" i="1"/>
  <c r="I205" i="1" s="1"/>
  <c r="E206" i="1"/>
  <c r="I206" i="1" s="1"/>
  <c r="E207" i="1"/>
  <c r="I207" i="1" s="1"/>
  <c r="E208" i="1"/>
  <c r="I208" i="1" s="1"/>
  <c r="E209" i="1"/>
  <c r="I209" i="1" s="1"/>
  <c r="E210" i="1"/>
  <c r="I210" i="1" s="1"/>
  <c r="E211" i="1"/>
  <c r="I211" i="1" s="1"/>
  <c r="E212" i="1"/>
  <c r="I212" i="1" s="1"/>
  <c r="E213" i="1"/>
  <c r="I213" i="1" s="1"/>
  <c r="E214" i="1"/>
  <c r="I214" i="1" s="1"/>
  <c r="E215" i="1"/>
  <c r="I215" i="1" s="1"/>
  <c r="E216" i="1"/>
  <c r="I216" i="1" s="1"/>
  <c r="E217" i="1"/>
  <c r="I217" i="1" s="1"/>
  <c r="E218" i="1"/>
  <c r="I218" i="1" s="1"/>
  <c r="E219" i="1"/>
  <c r="I219" i="1" s="1"/>
  <c r="E220" i="1"/>
  <c r="I220" i="1" s="1"/>
  <c r="E221" i="1"/>
  <c r="I221" i="1" s="1"/>
  <c r="E222" i="1"/>
  <c r="I222" i="1" s="1"/>
  <c r="E223" i="1"/>
  <c r="I223" i="1" s="1"/>
  <c r="E224" i="1"/>
  <c r="I224" i="1" s="1"/>
  <c r="E225" i="1"/>
  <c r="I225" i="1" s="1"/>
  <c r="E226" i="1"/>
  <c r="I226" i="1" s="1"/>
  <c r="E227" i="1"/>
  <c r="I227" i="1" s="1"/>
  <c r="E228" i="1"/>
  <c r="I228" i="1" s="1"/>
  <c r="E229" i="1"/>
  <c r="I229" i="1" s="1"/>
  <c r="E230" i="1"/>
  <c r="I230" i="1" s="1"/>
  <c r="E231" i="1"/>
  <c r="I231" i="1" s="1"/>
  <c r="E232" i="1"/>
  <c r="I232" i="1" s="1"/>
  <c r="E233" i="1"/>
  <c r="I233" i="1" s="1"/>
  <c r="E234" i="1"/>
  <c r="I234" i="1" s="1"/>
  <c r="E235" i="1"/>
  <c r="I235" i="1" s="1"/>
  <c r="E236" i="1"/>
  <c r="I236" i="1" s="1"/>
  <c r="E237" i="1"/>
  <c r="I237" i="1" s="1"/>
  <c r="E238" i="1"/>
  <c r="I238" i="1" s="1"/>
  <c r="E239" i="1"/>
  <c r="I239" i="1" s="1"/>
  <c r="E240" i="1"/>
  <c r="I240" i="1" s="1"/>
  <c r="E241" i="1"/>
  <c r="I241" i="1" s="1"/>
  <c r="E242" i="1"/>
  <c r="I242" i="1" s="1"/>
  <c r="E243" i="1"/>
  <c r="I243" i="1" s="1"/>
  <c r="E244" i="1"/>
  <c r="I244" i="1" s="1"/>
  <c r="E245" i="1"/>
  <c r="I245" i="1" s="1"/>
  <c r="E246" i="1"/>
  <c r="I246" i="1" s="1"/>
  <c r="E247" i="1"/>
  <c r="I247" i="1" s="1"/>
  <c r="E248" i="1"/>
  <c r="I248" i="1" s="1"/>
  <c r="E249" i="1"/>
  <c r="I249" i="1" s="1"/>
  <c r="E250" i="1"/>
  <c r="I250" i="1" s="1"/>
  <c r="E251" i="1"/>
  <c r="I251" i="1" s="1"/>
  <c r="E252" i="1"/>
  <c r="I252" i="1" s="1"/>
  <c r="E253" i="1"/>
  <c r="E254" i="1"/>
  <c r="I254" i="1" s="1"/>
  <c r="E255" i="1"/>
  <c r="I255" i="1" s="1"/>
  <c r="E256" i="1"/>
  <c r="I256" i="1" s="1"/>
  <c r="E257" i="1"/>
  <c r="I257" i="1" s="1"/>
  <c r="E258" i="1"/>
  <c r="I258" i="1" s="1"/>
  <c r="E259" i="1"/>
  <c r="I259" i="1" s="1"/>
  <c r="E260" i="1"/>
  <c r="I260" i="1" s="1"/>
  <c r="E261" i="1"/>
  <c r="I261" i="1" s="1"/>
  <c r="E262" i="1"/>
  <c r="I262" i="1" s="1"/>
  <c r="E263" i="1"/>
  <c r="I263" i="1" s="1"/>
  <c r="E264" i="1"/>
  <c r="I264" i="1" s="1"/>
  <c r="E265" i="1"/>
  <c r="I265" i="1" s="1"/>
  <c r="E266" i="1"/>
  <c r="I266" i="1" s="1"/>
  <c r="E267" i="1"/>
  <c r="I267" i="1" s="1"/>
  <c r="E268" i="1"/>
  <c r="I268" i="1" s="1"/>
  <c r="E269" i="1"/>
  <c r="I269" i="1" s="1"/>
  <c r="E270" i="1"/>
  <c r="I270" i="1" s="1"/>
  <c r="E271" i="1"/>
  <c r="I271" i="1" s="1"/>
  <c r="E272" i="1"/>
  <c r="I272" i="1" s="1"/>
  <c r="E273" i="1"/>
  <c r="I273" i="1" s="1"/>
  <c r="E274" i="1"/>
  <c r="I274" i="1" s="1"/>
  <c r="E275" i="1"/>
  <c r="I275" i="1" s="1"/>
  <c r="E276" i="1"/>
  <c r="I276" i="1" s="1"/>
  <c r="E277" i="1"/>
  <c r="I277" i="1" s="1"/>
  <c r="E278" i="1"/>
  <c r="I278" i="1" s="1"/>
  <c r="E279" i="1"/>
  <c r="I279" i="1" s="1"/>
  <c r="E280" i="1"/>
  <c r="I280" i="1" s="1"/>
  <c r="E281" i="1"/>
  <c r="I281" i="1" s="1"/>
  <c r="E282" i="1"/>
  <c r="I282" i="1" s="1"/>
  <c r="E283" i="1"/>
  <c r="I283" i="1" s="1"/>
  <c r="E284" i="1"/>
  <c r="I284" i="1" s="1"/>
  <c r="E285" i="1"/>
  <c r="I285" i="1" s="1"/>
  <c r="E286" i="1"/>
  <c r="I286" i="1" s="1"/>
  <c r="E287" i="1"/>
  <c r="I287" i="1" s="1"/>
  <c r="E288" i="1"/>
  <c r="I288" i="1" s="1"/>
  <c r="E289" i="1"/>
  <c r="I289" i="1" s="1"/>
  <c r="E290" i="1"/>
  <c r="I290" i="1" s="1"/>
  <c r="E291" i="1"/>
  <c r="I291" i="1" s="1"/>
  <c r="E292" i="1"/>
  <c r="I292" i="1" s="1"/>
  <c r="E293" i="1"/>
  <c r="I293" i="1" s="1"/>
  <c r="E294" i="1"/>
  <c r="I294" i="1" s="1"/>
  <c r="E295" i="1"/>
  <c r="I295" i="1" s="1"/>
  <c r="E296" i="1"/>
  <c r="I296" i="1" s="1"/>
  <c r="E297" i="1"/>
  <c r="I297" i="1" s="1"/>
  <c r="E298" i="1"/>
  <c r="I298" i="1" s="1"/>
  <c r="E299" i="1"/>
  <c r="I299" i="1" s="1"/>
  <c r="E300" i="1"/>
  <c r="I300" i="1" s="1"/>
  <c r="E301" i="1"/>
  <c r="I301" i="1" s="1"/>
  <c r="E302" i="1"/>
  <c r="I302" i="1" s="1"/>
  <c r="E303" i="1"/>
  <c r="I303" i="1" s="1"/>
  <c r="E304" i="1"/>
  <c r="I304" i="1" s="1"/>
  <c r="E305" i="1"/>
  <c r="I305" i="1" s="1"/>
  <c r="E306" i="1"/>
  <c r="I306" i="1" s="1"/>
  <c r="E307" i="1"/>
  <c r="I307" i="1" s="1"/>
  <c r="E308" i="1"/>
  <c r="I308" i="1" s="1"/>
  <c r="E309" i="1"/>
  <c r="I309" i="1" s="1"/>
  <c r="E310" i="1"/>
  <c r="I310" i="1" s="1"/>
  <c r="E311" i="1"/>
  <c r="I311" i="1" s="1"/>
  <c r="E312" i="1"/>
  <c r="I312" i="1" s="1"/>
  <c r="E313" i="1"/>
  <c r="I313" i="1" s="1"/>
  <c r="E314" i="1"/>
  <c r="I314" i="1" s="1"/>
  <c r="E315" i="1"/>
  <c r="I315" i="1" s="1"/>
  <c r="E316" i="1"/>
  <c r="I316" i="1" s="1"/>
  <c r="E317" i="1"/>
  <c r="I317" i="1" s="1"/>
  <c r="E318" i="1"/>
  <c r="I318" i="1" s="1"/>
  <c r="E319" i="1"/>
  <c r="I319" i="1" s="1"/>
  <c r="E320" i="1"/>
  <c r="I320" i="1" s="1"/>
  <c r="E321" i="1"/>
  <c r="I321" i="1" s="1"/>
  <c r="E322" i="1"/>
  <c r="I322" i="1" s="1"/>
  <c r="E323" i="1"/>
  <c r="I323" i="1" s="1"/>
  <c r="E324" i="1"/>
  <c r="I324" i="1" s="1"/>
  <c r="E325" i="1"/>
  <c r="I325" i="1" s="1"/>
  <c r="E326" i="1"/>
  <c r="I326" i="1" s="1"/>
  <c r="E327" i="1"/>
  <c r="I327" i="1" s="1"/>
  <c r="E328" i="1"/>
  <c r="I328" i="1" s="1"/>
  <c r="E329" i="1"/>
  <c r="I329" i="1" s="1"/>
  <c r="E330" i="1"/>
  <c r="I330" i="1" s="1"/>
  <c r="E331" i="1"/>
  <c r="I331" i="1" s="1"/>
  <c r="E332" i="1"/>
  <c r="I332" i="1" s="1"/>
  <c r="E333" i="1"/>
  <c r="I333" i="1" s="1"/>
  <c r="E334" i="1"/>
  <c r="I334" i="1" s="1"/>
  <c r="E335" i="1"/>
  <c r="I335" i="1" s="1"/>
  <c r="E336" i="1"/>
  <c r="I336" i="1" s="1"/>
  <c r="E337" i="1"/>
  <c r="I337" i="1" s="1"/>
  <c r="E338" i="1"/>
  <c r="I338" i="1" s="1"/>
  <c r="E339" i="1"/>
  <c r="I339" i="1" s="1"/>
  <c r="E340" i="1"/>
  <c r="I340" i="1" s="1"/>
  <c r="E341" i="1"/>
  <c r="I341" i="1" s="1"/>
  <c r="E342" i="1"/>
  <c r="I342" i="1" s="1"/>
  <c r="E343" i="1"/>
  <c r="I343" i="1" s="1"/>
  <c r="E344" i="1"/>
  <c r="I344" i="1" s="1"/>
  <c r="E345" i="1"/>
  <c r="I345" i="1" s="1"/>
  <c r="E346" i="1"/>
  <c r="I346" i="1" s="1"/>
  <c r="E347" i="1"/>
  <c r="I347" i="1" s="1"/>
  <c r="E348" i="1"/>
  <c r="I348" i="1" s="1"/>
  <c r="E349" i="1"/>
  <c r="I349" i="1" s="1"/>
  <c r="E350" i="1"/>
  <c r="I350" i="1" s="1"/>
  <c r="E351" i="1"/>
  <c r="I351" i="1" s="1"/>
  <c r="E352" i="1"/>
  <c r="I352" i="1" s="1"/>
  <c r="E353" i="1"/>
  <c r="I353" i="1" s="1"/>
  <c r="E354" i="1"/>
  <c r="I354" i="1" s="1"/>
  <c r="E355" i="1"/>
  <c r="I355" i="1" s="1"/>
  <c r="E356" i="1"/>
  <c r="I356" i="1" s="1"/>
  <c r="E357" i="1"/>
  <c r="I357" i="1" s="1"/>
  <c r="E358" i="1"/>
  <c r="I358" i="1" s="1"/>
  <c r="E359" i="1"/>
  <c r="I359" i="1" s="1"/>
  <c r="E360" i="1"/>
  <c r="I360" i="1" s="1"/>
  <c r="E361" i="1"/>
  <c r="I361" i="1" s="1"/>
  <c r="E2" i="1"/>
  <c r="I2" i="1" s="1"/>
</calcChain>
</file>

<file path=xl/sharedStrings.xml><?xml version="1.0" encoding="utf-8"?>
<sst xmlns="http://schemas.openxmlformats.org/spreadsheetml/2006/main" count="2535" uniqueCount="1653">
  <si>
    <t>project</t>
  </si>
  <si>
    <t>smell</t>
  </si>
  <si>
    <t>package</t>
  </si>
  <si>
    <t>class</t>
  </si>
  <si>
    <t>prompt_file</t>
  </si>
  <si>
    <t>context_size</t>
  </si>
  <si>
    <t>javaparser</t>
  </si>
  <si>
    <t>Insufficient Modularization</t>
  </si>
  <si>
    <t>com.github.javaparser.symbolsolver.javaparsermodel.contexts</t>
  </si>
  <si>
    <t>AnonymousClassDeclarationContext</t>
  </si>
  <si>
    <t>data/processed/prompts/insufficient_modularization/javaparser/com_github_javaparser_symbolsolver_javaparsermodel_contexts_AnonymousClassDeclarationContext.txt</t>
  </si>
  <si>
    <t>byte-buddy</t>
  </si>
  <si>
    <t>net.bytebuddy.dynamic.DynamicType</t>
  </si>
  <si>
    <t>Initial</t>
  </si>
  <si>
    <t>data/processed/prompts/insufficient_modularization/byte-buddy/net_bytebuddy_dynamic_DynamicType_Initial.txt</t>
  </si>
  <si>
    <t>com.packageName</t>
  </si>
  <si>
    <t>ClassInPackage</t>
  </si>
  <si>
    <t>data/processed/prompts/insufficient_modularization/javaparser/com_packageName_ClassInPackage.txt</t>
  </si>
  <si>
    <t>net.bytebuddy.description.type.TypeList</t>
  </si>
  <si>
    <t>Empty</t>
  </si>
  <si>
    <t>data/processed/prompts/insufficient_modularization/byte-buddy/net_bytebuddy_description_type_TypeList_Empty.txt</t>
  </si>
  <si>
    <t>net.bytebuddy.description.type.RecordComponentDescription</t>
  </si>
  <si>
    <t>InDefinedShape</t>
  </si>
  <si>
    <t>data/processed/prompts/insufficient_modularization/byte-buddy/net_bytebuddy_description_type_RecordComponentDescription_InDefinedShape.txt</t>
  </si>
  <si>
    <t>commons-io</t>
  </si>
  <si>
    <t>org.apache.commons.io</t>
  </si>
  <si>
    <t>CloseableURLConnection</t>
  </si>
  <si>
    <t>data/processed/prompts/insufficient_modularization/commons-io/org_apache_commons_io_CloseableURLConnection.txt</t>
  </si>
  <si>
    <t>net.bytebuddy.implementation.bind.MethodDelegationBinder</t>
  </si>
  <si>
    <t>Compound</t>
  </si>
  <si>
    <t>data/processed/prompts/insufficient_modularization/byte-buddy/net_bytebuddy_implementation_bind_MethodDelegationBinder_Compound.txt</t>
  </si>
  <si>
    <t>zxing</t>
  </si>
  <si>
    <t>com.google.zxing</t>
  </si>
  <si>
    <t>ResultPointCallback</t>
  </si>
  <si>
    <t>data/processed/prompts/insufficient_modularization/zxing/com_google_zxing_ResultPointCallback.txt</t>
  </si>
  <si>
    <t>net.bytebuddy.dynamic.scaffold.inline</t>
  </si>
  <si>
    <t>MethodRebaseResolver</t>
  </si>
  <si>
    <t>data/processed/prompts/insufficient_modularization/byte-buddy/net_bytebuddy_dynamic_scaffold_inline_MethodRebaseResolver.txt</t>
  </si>
  <si>
    <t>net.bytebuddy.implementation.bytecode.assign.primitive.PrimitiveUnboxingDelegate</t>
  </si>
  <si>
    <t>UnboxingResponsible</t>
  </si>
  <si>
    <t>data/processed/prompts/insufficient_modularization/byte-buddy/net_bytebuddy_implementation_bytecode_assign_primitive_PrimitiveUnboxingDelegate_UnboxingResponsible.txt</t>
  </si>
  <si>
    <t>jitwatch</t>
  </si>
  <si>
    <t>(default package)</t>
  </si>
  <si>
    <t>ElisionTest</t>
  </si>
  <si>
    <t>data/processed/prompts/insufficient_modularization/jitwatch/(default package)_ElisionTest.txt</t>
  </si>
  <si>
    <t>net.bytebuddy</t>
  </si>
  <si>
    <t>NamingStrategy</t>
  </si>
  <si>
    <t>data/processed/prompts/insufficient_modularization/byte-buddy/net_bytebuddy_NamingStrategy.txt</t>
  </si>
  <si>
    <t>net.bytebuddy.implementation.MethodCall</t>
  </si>
  <si>
    <t>ForConstructingInvocation</t>
  </si>
  <si>
    <t>data/processed/prompts/insufficient_modularization/byte-buddy/net_bytebuddy_implementation_MethodCall_ForConstructingInvocation.txt</t>
  </si>
  <si>
    <t>org.apache.commons.io.input</t>
  </si>
  <si>
    <t>UnsynchronizedReader</t>
  </si>
  <si>
    <t>data/processed/prompts/insufficient_modularization/commons-io/org_apache_commons_io_input_UnsynchronizedReader.txt</t>
  </si>
  <si>
    <t>net.bytebuddy.dynamic.scaffold</t>
  </si>
  <si>
    <t>TypeInitializer</t>
  </si>
  <si>
    <t>data/processed/prompts/insufficient_modularization/byte-buddy/net_bytebuddy_dynamic_scaffold_TypeInitializer.txt</t>
  </si>
  <si>
    <t>org.apache.commons.io.input.ObservableInputStream</t>
  </si>
  <si>
    <t>Builder</t>
  </si>
  <si>
    <t>data/processed/prompts/insufficient_modularization/commons-io/org_apache_commons_io_input_ObservableInputStream_Builder.txt</t>
  </si>
  <si>
    <t>demo.Main</t>
  </si>
  <si>
    <t>Callback</t>
  </si>
  <si>
    <t>data/processed/prompts/insufficient_modularization/javaparser/demo_Main_Callback.txt</t>
  </si>
  <si>
    <t>com.google.zxing.oned</t>
  </si>
  <si>
    <t>CodaBarReader</t>
  </si>
  <si>
    <t>data/processed/prompts/insufficient_modularization/zxing/com_google_zxing_oned_CodaBarReader.txt</t>
  </si>
  <si>
    <t>org.apache.commons.io.output</t>
  </si>
  <si>
    <t>FileWriterWithEncoding</t>
  </si>
  <si>
    <t>data/processed/prompts/insufficient_modularization/commons-io/org_apache_commons_io_output_FileWriterWithEncoding.txt</t>
  </si>
  <si>
    <t>net.bytebuddy.implementation.ToStringMethod</t>
  </si>
  <si>
    <t>ForFixedValue</t>
  </si>
  <si>
    <t>data/processed/prompts/insufficient_modularization/byte-buddy/net_bytebuddy_implementation_ToStringMethod_ForFixedValue.txt</t>
  </si>
  <si>
    <t>net.bytebuddy.dynamic.NexusAccessor</t>
  </si>
  <si>
    <t>Available</t>
  </si>
  <si>
    <t>data/processed/prompts/insufficient_modularization/byte-buddy/net_bytebuddy_dynamic_NexusAccessor_Available.txt</t>
  </si>
  <si>
    <t>jimfs</t>
  </si>
  <si>
    <t>com.google.common.jimfs.BasicAttributeProvider</t>
  </si>
  <si>
    <t>View</t>
  </si>
  <si>
    <t>data/processed/prompts/insufficient_modularization/jimfs/com_google_common_jimfs_BasicAttributeProvider_View.txt</t>
  </si>
  <si>
    <t>com.google.zxing.qrcode.decoder</t>
  </si>
  <si>
    <t>BitMatrixParser</t>
  </si>
  <si>
    <t>data/processed/prompts/insufficient_modularization/zxing/com_google_zxing_qrcode_decoder_BitMatrixParser.txt</t>
  </si>
  <si>
    <t>org.apache.commons.io.file</t>
  </si>
  <si>
    <t>CountingPathVisitor</t>
  </si>
  <si>
    <t>data/processed/prompts/insufficient_modularization/commons-io/org_apache_commons_io_file_CountingPathVisitor.txt</t>
  </si>
  <si>
    <t>gson</t>
  </si>
  <si>
    <t>com.google.gson.internal.bind.CollectionTypeAdapterFactory</t>
  </si>
  <si>
    <t>Adapter</t>
  </si>
  <si>
    <t>data/processed/prompts/insufficient_modularization/gson/com_google_gson_internal_bind_CollectionTypeAdapterFactory_Adapter.txt</t>
  </si>
  <si>
    <t>commons-lang</t>
  </si>
  <si>
    <t>org.apache.commons.lang3.compare</t>
  </si>
  <si>
    <t>ComparableUtils</t>
  </si>
  <si>
    <t>data/processed/prompts/insufficient_modularization/commons-lang/org_apache_commons_lang3_compare_ComparableUtils.txt</t>
  </si>
  <si>
    <t>com.google.zxing.client.android</t>
  </si>
  <si>
    <t>Intents</t>
  </si>
  <si>
    <t>data/processed/prompts/insufficient_modularization/zxing/com_google_zxing_client_android_Intents.txt</t>
  </si>
  <si>
    <t>org.apache.commons.lang3.concurrent</t>
  </si>
  <si>
    <t>CallableBackgroundInitializer</t>
  </si>
  <si>
    <t>data/processed/prompts/insufficient_modularization/commons-lang/org_apache_commons_lang3_concurrent_CallableBackgroundInitializer.txt</t>
  </si>
  <si>
    <t>net.bytebuddy.asm.AsmVisitorWrapper</t>
  </si>
  <si>
    <t>NoOp</t>
  </si>
  <si>
    <t>data/processed/prompts/insufficient_modularization/byte-buddy/net_bytebuddy_asm_AsmVisitorWrapper_NoOp.txt</t>
  </si>
  <si>
    <t>org.adoptopenjdk.jitwatch.toplist</t>
  </si>
  <si>
    <t>AbstractTopListVisitable</t>
  </si>
  <si>
    <t>data/processed/prompts/insufficient_modularization/jitwatch/org_adoptopenjdk_jitwatch_toplist_AbstractTopListVisitable.txt</t>
  </si>
  <si>
    <t>net.bytebuddy.description.modifier</t>
  </si>
  <si>
    <t>FieldManifestation</t>
  </si>
  <si>
    <t>data/processed/prompts/insufficient_modularization/byte-buddy/net_bytebuddy_description_modifier_FieldManifestation.txt</t>
  </si>
  <si>
    <t>net.bytebuddy.description.method.ParameterList</t>
  </si>
  <si>
    <t>OfMethod</t>
  </si>
  <si>
    <t>data/processed/prompts/insufficient_modularization/byte-buddy/net_bytebuddy_description_method_ParameterList_OfMethod.txt</t>
  </si>
  <si>
    <t>net.bytebuddy.benchmark.jmh.generated.SuperClassInvocationBenchmark.benchmarkByteBuddyWithPrefix</t>
  </si>
  <si>
    <t>jmhTest</t>
  </si>
  <si>
    <t>data/processed/prompts/insufficient_modularization/byte-buddy/net_bytebuddy_benchmark_jmh_generated_SuperClassInvocationBenchmark_benchmarkByteBuddyWithPrefix_jmhTest.txt</t>
  </si>
  <si>
    <t>com.google.zxing.oned.rss.expanded.decoders</t>
  </si>
  <si>
    <t>AI013103decoder</t>
  </si>
  <si>
    <t>data/processed/prompts/insufficient_modularization/zxing/com_google_zxing_oned_rss_expanded_decoders_AI013103decoder.txt</t>
  </si>
  <si>
    <t>com.github.javaparser.symbolsolver.utils</t>
  </si>
  <si>
    <t>FileUtils</t>
  </si>
  <si>
    <t>data/processed/prompts/insufficient_modularization/javaparser/com_github_javaparser_symbolsolver_utils_FileUtils.txt</t>
  </si>
  <si>
    <t>org.apache.commons.lang3.event</t>
  </si>
  <si>
    <t>EventListenerSupport</t>
  </si>
  <si>
    <t>data/processed/prompts/insufficient_modularization/commons-lang/org_apache_commons_lang3_event_EventListenerSupport.txt</t>
  </si>
  <si>
    <t>org.apache.commons.lang3.Strings</t>
  </si>
  <si>
    <t>CsStrings</t>
  </si>
  <si>
    <t>data/processed/prompts/insufficient_modularization/commons-lang/org_apache_commons_lang3_Strings_CsStrings.txt</t>
  </si>
  <si>
    <t>com.google.zxing.web</t>
  </si>
  <si>
    <t>OutputUtils</t>
  </si>
  <si>
    <t>data/processed/prompts/insufficient_modularization/zxing/com_google_zxing_web_OutputUtils.txt</t>
  </si>
  <si>
    <t>net.bytebuddy.asm.MemberSubstitution</t>
  </si>
  <si>
    <t>Dispatcher</t>
  </si>
  <si>
    <t>data/processed/prompts/insufficient_modularization/byte-buddy/net_bytebuddy_asm_MemberSubstitution_Dispatcher.txt</t>
  </si>
  <si>
    <t>net.bytebuddy.implementation.bytecode.member</t>
  </si>
  <si>
    <t>Invokedynamic</t>
  </si>
  <si>
    <t>data/processed/prompts/insufficient_modularization/byte-buddy/net_bytebuddy_implementation_bytecode_member_Invokedynamic.txt</t>
  </si>
  <si>
    <t>OfLegacyVmMethod</t>
  </si>
  <si>
    <t>data/processed/prompts/insufficient_modularization/byte-buddy/net_bytebuddy_description_method_ParameterList_OfLegacyVmMethod.txt</t>
  </si>
  <si>
    <t>com.github.javaparser.utils</t>
  </si>
  <si>
    <t>ParserCollectionStrategy</t>
  </si>
  <si>
    <t>data/processed/prompts/insufficient_modularization/javaparser/com_github_javaparser_utils_ParserCollectionStrategy.txt</t>
  </si>
  <si>
    <t>org.gradle.api.tasks</t>
  </si>
  <si>
    <t>PathSensitivity</t>
  </si>
  <si>
    <t>data/processed/prompts/insufficient_modularization/byte-buddy/org_gradle_api_tasks_PathSensitivity.txt</t>
  </si>
  <si>
    <t>UncheckedFilterReader</t>
  </si>
  <si>
    <t>data/processed/prompts/insufficient_modularization/commons-io/org_apache_commons_io_input_UncheckedFilterReader.txt</t>
  </si>
  <si>
    <t>net.bytebuddy.implementation.auxiliary.TypeProxy</t>
  </si>
  <si>
    <t>MethodCall</t>
  </si>
  <si>
    <t>data/processed/prompts/insufficient_modularization/byte-buddy/net_bytebuddy_implementation_auxiliary_TypeProxy_MethodCall.txt</t>
  </si>
  <si>
    <t>jsoup</t>
  </si>
  <si>
    <t>org.jsoup.helper.AuthenticationHandler</t>
  </si>
  <si>
    <t>AuthShim</t>
  </si>
  <si>
    <t>data/processed/prompts/insufficient_modularization/jsoup/org_jsoup_helper_AuthenticationHandler_AuthShim.txt</t>
  </si>
  <si>
    <t>net.bytebuddy.implementation.InvokeDynamic</t>
  </si>
  <si>
    <t>ForIntegerConstant</t>
  </si>
  <si>
    <t>data/processed/prompts/insufficient_modularization/byte-buddy/net_bytebuddy_implementation_InvokeDynamic_ForIntegerConstant.txt</t>
  </si>
  <si>
    <t>com.github.javaparser.resolution.logic</t>
  </si>
  <si>
    <t>ConstructorResolutionLogic</t>
  </si>
  <si>
    <t>data/processed/prompts/insufficient_modularization/javaparser/com_github_javaparser_resolution_logic_ConstructorResolutionLogic.txt</t>
  </si>
  <si>
    <t>com.github.javaparser.ast.modules</t>
  </si>
  <si>
    <t>ModuleOpensDirective</t>
  </si>
  <si>
    <t>data/processed/prompts/insufficient_modularization/javaparser/com_github_javaparser_ast_modules_ModuleOpensDirective.txt</t>
  </si>
  <si>
    <t>net.bytebuddy.matcher.LatentMatcher</t>
  </si>
  <si>
    <t>ForRecordComponentToken</t>
  </si>
  <si>
    <t>data/processed/prompts/insufficient_modularization/byte-buddy/net_bytebuddy_matcher_LatentMatcher_ForRecordComponentToken.txt</t>
  </si>
  <si>
    <t>Unloaded</t>
  </si>
  <si>
    <t>data/processed/prompts/insufficient_modularization/byte-buddy/net_bytebuddy_dynamic_DynamicType_Unloaded.txt</t>
  </si>
  <si>
    <t>SilentConstruction</t>
  </si>
  <si>
    <t>data/processed/prompts/insufficient_modularization/byte-buddy/net_bytebuddy_implementation_auxiliary_TypeProxy_SilentConstruction.txt</t>
  </si>
  <si>
    <t>google-java-format</t>
  </si>
  <si>
    <t>com.google.googlejavaformat.java.JavacTokens</t>
  </si>
  <si>
    <t>AccessibleScanner</t>
  </si>
  <si>
    <t>data/processed/prompts/insufficient_modularization/google-java-format/com_google_googlejavaformat_java_JavacTokens_AccessibleScanner.txt</t>
  </si>
  <si>
    <t>com.github.javaparser.ast.body</t>
  </si>
  <si>
    <t>ConstructorDeclaration</t>
  </si>
  <si>
    <t>data/processed/prompts/insufficient_modularization/javaparser/com_github_javaparser_ast_body_ConstructorDeclaration.txt</t>
  </si>
  <si>
    <t>org.apache.commons.lang3.concurrent.EventCountCircuitBreaker</t>
  </si>
  <si>
    <t>CheckIntervalData</t>
  </si>
  <si>
    <t>data/processed/prompts/insufficient_modularization/commons-lang/org_apache_commons_lang3_concurrent_EventCountCircuitBreaker_CheckIntervalData.txt</t>
  </si>
  <si>
    <t>net.bytebuddy.description.annotation.AnnotationValue</t>
  </si>
  <si>
    <t>PropertyDelegate</t>
  </si>
  <si>
    <t>data/processed/prompts/insufficient_modularization/byte-buddy/net_bytebuddy_description_annotation_AnnotationValue_PropertyDelegate.txt</t>
  </si>
  <si>
    <t>net.bytebuddy.utility.GraalImageCode</t>
  </si>
  <si>
    <t>ImageCodeContextAction</t>
  </si>
  <si>
    <t>data/processed/prompts/insufficient_modularization/byte-buddy/net_bytebuddy_utility_GraalImageCode_ImageCodeContextAction.txt</t>
  </si>
  <si>
    <t>Factory</t>
  </si>
  <si>
    <t>data/processed/prompts/insufficient_modularization/byte-buddy/net_bytebuddy_asm_MemberSubstitution_Factory.txt</t>
  </si>
  <si>
    <t>net.bytebuddy.pool.TypePool</t>
  </si>
  <si>
    <t>LazyTypeVariable</t>
  </si>
  <si>
    <t>data/processed/prompts/insufficient_modularization/byte-buddy/net_bytebuddy_pool_TypePool_LazyTypeVariable.txt</t>
  </si>
  <si>
    <t>net.bytebuddy.build.AccessControllerPlugin</t>
  </si>
  <si>
    <t>WithProperty</t>
  </si>
  <si>
    <t>data/processed/prompts/insufficient_modularization/byte-buddy/net_bytebuddy_build_AccessControllerPlugin_WithProperty.txt</t>
  </si>
  <si>
    <t>FieldTokenList</t>
  </si>
  <si>
    <t>data/processed/prompts/insufficient_modularization/byte-buddy/net_bytebuddy_pool_TypePool_FieldTokenList.txt</t>
  </si>
  <si>
    <t>org.apache.commons.lang3.mutable</t>
  </si>
  <si>
    <t>Mutable</t>
  </si>
  <si>
    <t>data/processed/prompts/insufficient_modularization/commons-lang/org_apache_commons_lang3_mutable_Mutable.txt</t>
  </si>
  <si>
    <t>net.bytebuddy.build.gradle</t>
  </si>
  <si>
    <t>ByteBuddySimpleTaskExtension</t>
  </si>
  <si>
    <t>data/processed/prompts/insufficient_modularization/byte-buddy/net_bytebuddy_build_gradle_ByteBuddySimpleTaskExtension.txt</t>
  </si>
  <si>
    <t>net.bytebuddy.build.Plugin</t>
  </si>
  <si>
    <t>CompoundIterator</t>
  </si>
  <si>
    <t>data/processed/prompts/insufficient_modularization/byte-buddy/net_bytebuddy_build_Plugin_CompoundIterator.txt</t>
  </si>
  <si>
    <t>net.bytebuddy.description.TypeVariableSource</t>
  </si>
  <si>
    <t>AbstractBase</t>
  </si>
  <si>
    <t>data/processed/prompts/insufficient_modularization/byte-buddy/net_bytebuddy_description_TypeVariableSource_AbstractBase.txt</t>
  </si>
  <si>
    <t>org.adoptopenjdk.jitwatch.model.assembly</t>
  </si>
  <si>
    <t>AssemblyInstruction</t>
  </si>
  <si>
    <t>data/processed/prompts/insufficient_modularization/jitwatch/org_adoptopenjdk_jitwatch_model_assembly_AssemblyInstruction.txt</t>
  </si>
  <si>
    <t>org.tensorflow.op</t>
  </si>
  <si>
    <t>Ops</t>
  </si>
  <si>
    <t>data/processed/prompts/insufficient_modularization/javaparser/org_tensorflow_op_Ops.txt</t>
  </si>
  <si>
    <t>WithoutProperty</t>
  </si>
  <si>
    <t>data/processed/prompts/insufficient_modularization/byte-buddy/net_bytebuddy_build_AccessControllerPlugin_WithoutProperty.txt</t>
  </si>
  <si>
    <t>net.bytebuddy.agent.ByteBuddyAgent</t>
  </si>
  <si>
    <t>ExternalAttachment</t>
  </si>
  <si>
    <t>data/processed/prompts/insufficient_modularization/byte-buddy/net_bytebuddy_agent_ByteBuddyAgent_ExternalAttachment.txt</t>
  </si>
  <si>
    <t>net.bytebuddy.dynamic.scaffold.TypeWriter</t>
  </si>
  <si>
    <t>Default</t>
  </si>
  <si>
    <t>data/processed/prompts/insufficient_modularization/byte-buddy/net_bytebuddy_dynamic_scaffold_TypeWriter_Default.txt</t>
  </si>
  <si>
    <t>AccessorMethodInvocation</t>
  </si>
  <si>
    <t>data/processed/prompts/insufficient_modularization/byte-buddy/net_bytebuddy_implementation_auxiliary_TypeProxy_AccessorMethodInvocation.txt</t>
  </si>
  <si>
    <t>com.google.zxing.client.android.encode.MECARDContactEncoder</t>
  </si>
  <si>
    <t>MECARDTelDisplayFormatter</t>
  </si>
  <si>
    <t>data/processed/prompts/insufficient_modularization/zxing/com_google_zxing_client_android_encode_MECARDContactEncoder_MECARDTelDisplayFormatter.txt</t>
  </si>
  <si>
    <t>org.apache.commons.lang3.text.StrBuilder</t>
  </si>
  <si>
    <t>StrBuilderTokenizer</t>
  </si>
  <si>
    <t>data/processed/prompts/insufficient_modularization/commons-lang/org_apache_commons_lang3_text_StrBuilder_StrBuilderTokenizer.txt</t>
  </si>
  <si>
    <t>com.github.javaparser.symbolsolver.resolution.typeinference</t>
  </si>
  <si>
    <t>BoundSet</t>
  </si>
  <si>
    <t>data/processed/prompts/insufficient_modularization/javaparser/com_github_javaparser_symbolsolver_resolution_typeinference_BoundSet.txt</t>
  </si>
  <si>
    <t>LazyAnnotationValue</t>
  </si>
  <si>
    <t>data/processed/prompts/insufficient_modularization/byte-buddy/net_bytebuddy_pool_TypePool_LazyAnnotationValue.txt</t>
  </si>
  <si>
    <t>com.github.javaparser.metamodel</t>
  </si>
  <si>
    <t>StringLiteralExprMetaModel</t>
  </si>
  <si>
    <t>data/processed/prompts/insufficient_modularization/javaparser/com_github_javaparser_metamodel_StringLiteralExprMetaModel.txt</t>
  </si>
  <si>
    <t>org.jsoup.safety</t>
  </si>
  <si>
    <t>Cleaner</t>
  </si>
  <si>
    <t>data/processed/prompts/insufficient_modularization/jsoup/org_jsoup_safety_Cleaner.txt</t>
  </si>
  <si>
    <t>net.bytebuddy.implementation.bytecode.member.FieldAccess</t>
  </si>
  <si>
    <t>FieldGetInstruction</t>
  </si>
  <si>
    <t>data/processed/prompts/insufficient_modularization/byte-buddy/net_bytebuddy_implementation_bytecode_member_FieldAccess_FieldGetInstruction.txt</t>
  </si>
  <si>
    <t>a.b.c</t>
  </si>
  <si>
    <t>ExampleClass</t>
  </si>
  <si>
    <t>data/processed/prompts/insufficient_modularization/javaparser/a_b_c_ExampleClass.txt</t>
  </si>
  <si>
    <t>net.bytebuddy.description.type</t>
  </si>
  <si>
    <t>TypeVariableToken</t>
  </si>
  <si>
    <t>data/processed/prompts/insufficient_modularization/byte-buddy/net_bytebuddy_description_type_TypeVariableToken.txt</t>
  </si>
  <si>
    <t>TokenizedGenericType</t>
  </si>
  <si>
    <t>data/processed/prompts/insufficient_modularization/byte-buddy/net_bytebuddy_pool_TypePool_TokenizedGenericType.txt</t>
  </si>
  <si>
    <t>data/processed/prompts/insufficient_modularization/byte-buddy/net_bytebuddy_agent_ByteBuddyAgent_Compound.txt</t>
  </si>
  <si>
    <t>net.bytebuddy.dynamic.ClassFileLocator</t>
  </si>
  <si>
    <t>ExtractionClassFileTransformer</t>
  </si>
  <si>
    <t>data/processed/prompts/insufficient_modularization/byte-buddy/net_bytebuddy_dynamic_ClassFileLocator_ExtractionClassFileTransformer.txt</t>
  </si>
  <si>
    <t>MethodReferenceExprMetaModel</t>
  </si>
  <si>
    <t>data/processed/prompts/insufficient_modularization/javaparser/com_github_javaparser_metamodel_MethodReferenceExprMetaModel.txt</t>
  </si>
  <si>
    <t>net.bytebuddy.implementation.bytecode.constant</t>
  </si>
  <si>
    <t>SerializedConstant</t>
  </si>
  <si>
    <t>data/processed/prompts/insufficient_modularization/byte-buddy/net_bytebuddy_implementation_bytecode_constant_SerializedConstant.txt</t>
  </si>
  <si>
    <t>net.bytebuddy.agent.VirtualMachine</t>
  </si>
  <si>
    <t>data/processed/prompts/insufficient_modularization/byte-buddy/net_bytebuddy_agent_VirtualMachine_Dispatcher.txt</t>
  </si>
  <si>
    <t>org.apache.commons.lang3.exception</t>
  </si>
  <si>
    <t>ContextedRuntimeException</t>
  </si>
  <si>
    <t>data/processed/prompts/insufficient_modularization/commons-lang/org_apache_commons_lang3_exception_ContextedRuntimeException.txt</t>
  </si>
  <si>
    <t>com.google.zxing.datamatrix.encoder</t>
  </si>
  <si>
    <t>HighLevelEncoder</t>
  </si>
  <si>
    <t>data/processed/prompts/insufficient_modularization/zxing/com_google_zxing_datamatrix_encoder_HighLevelEncoder.txt</t>
  </si>
  <si>
    <t>com.google.gson</t>
  </si>
  <si>
    <t>LongSerializationPolicy</t>
  </si>
  <si>
    <t>data/processed/prompts/insufficient_modularization/gson/com_google_gson_LongSerializationPolicy.txt</t>
  </si>
  <si>
    <t>org.apache.commons.io.file.CountingPathVisitor</t>
  </si>
  <si>
    <t>data/processed/prompts/insufficient_modularization/commons-io/org_apache_commons_io_file_CountingPathVisitor_Builder.txt</t>
  </si>
  <si>
    <t>net.bytebuddy.description.field.FieldDescription</t>
  </si>
  <si>
    <t>SignatureToken</t>
  </si>
  <si>
    <t>data/processed/prompts/insufficient_modularization/byte-buddy/net_bytebuddy_description_field_FieldDescription_SignatureToken.txt</t>
  </si>
  <si>
    <t>ForMatchedByteCodeElement</t>
  </si>
  <si>
    <t>data/processed/prompts/insufficient_modularization/byte-buddy/net_bytebuddy_asm_MemberSubstitution_ForMatchedByteCodeElement.txt</t>
  </si>
  <si>
    <t>com.github.javaparser.printer</t>
  </si>
  <si>
    <t>XmlPrinter</t>
  </si>
  <si>
    <t>data/processed/prompts/insufficient_modularization/javaparser/com_github_javaparser_printer_XmlPrinter.txt</t>
  </si>
  <si>
    <t>JavadocCommentMetaModel</t>
  </si>
  <si>
    <t>data/processed/prompts/insufficient_modularization/javaparser/com_github_javaparser_metamodel_JavadocCommentMetaModel.txt</t>
  </si>
  <si>
    <t>com.google.zxing.common</t>
  </si>
  <si>
    <t>ECIEncoderSet</t>
  </si>
  <si>
    <t>data/processed/prompts/insufficient_modularization/zxing/com_google_zxing_common_ECIEncoderSet.txt</t>
  </si>
  <si>
    <t>com.google.common.jimfs.UserLookupService</t>
  </si>
  <si>
    <t>NamedPrincipal</t>
  </si>
  <si>
    <t>data/processed/prompts/insufficient_modularization/jimfs/com_google_common_jimfs_UserLookupService_NamedPrincipal.txt</t>
  </si>
  <si>
    <t>com.google.zxing.pdf417.decoder</t>
  </si>
  <si>
    <t>DetectionResultColumn</t>
  </si>
  <si>
    <t>data/processed/prompts/insufficient_modularization/zxing/com_google_zxing_pdf417_decoder_DetectionResultColumn.txt</t>
  </si>
  <si>
    <t>net.bytebuddy.implementation.attribute.AnnotationAppender</t>
  </si>
  <si>
    <t>OnField</t>
  </si>
  <si>
    <t>data/processed/prompts/insufficient_modularization/byte-buddy/net_bytebuddy_implementation_attribute_AnnotationAppender_OnField.txt</t>
  </si>
  <si>
    <t>com.google.zxing.common.reedsolomon</t>
  </si>
  <si>
    <t>ReedSolomonEncoder</t>
  </si>
  <si>
    <t>data/processed/prompts/insufficient_modularization/zxing/com_google_zxing_common_reedsolomon_ReedSolomonEncoder.txt</t>
  </si>
  <si>
    <t>net.bytebuddy.dynamic</t>
  </si>
  <si>
    <t>TypeResolutionStrategy</t>
  </si>
  <si>
    <t>data/processed/prompts/insufficient_modularization/byte-buddy/net_bytebuddy_dynamic_TypeResolutionStrategy.txt</t>
  </si>
  <si>
    <t>com.google.zxing.oned.rss.expanded.decoders.FieldParser</t>
  </si>
  <si>
    <t>DataLength</t>
  </si>
  <si>
    <t>data/processed/prompts/insufficient_modularization/zxing/com_google_zxing_oned_rss_expanded_decoders_FieldParser_DataLength.txt</t>
  </si>
  <si>
    <t>net.bytebuddy.description.method.MethodDescription</t>
  </si>
  <si>
    <t>Latent</t>
  </si>
  <si>
    <t>data/processed/prompts/insufficient_modularization/byte-buddy/net_bytebuddy_description_method_MethodDescription_Latent.txt</t>
  </si>
  <si>
    <t>net.bytebuddy.implementation.bytecode.constant.MethodConstant</t>
  </si>
  <si>
    <t>CanCacheIllegal</t>
  </si>
  <si>
    <t>data/processed/prompts/insufficient_modularization/byte-buddy/net_bytebuddy_implementation_bytecode_constant_MethodConstant_CanCacheIllegal.txt</t>
  </si>
  <si>
    <t>net.bytebuddy.implementation.Implementation</t>
  </si>
  <si>
    <t>data/processed/prompts/insufficient_modularization/byte-buddy/net_bytebuddy_implementation_Implementation_Factory.txt</t>
  </si>
  <si>
    <t>TypeToken</t>
  </si>
  <si>
    <t>data/processed/prompts/insufficient_modularization/byte-buddy/net_bytebuddy_description_method_MethodDescription_TypeToken.txt</t>
  </si>
  <si>
    <t>org.jsoup.helper</t>
  </si>
  <si>
    <t>RequestDispatch</t>
  </si>
  <si>
    <t>data/processed/prompts/insufficient_modularization/jsoup/org_jsoup_helper_RequestDispatch.txt</t>
  </si>
  <si>
    <t>com.github.javaparser.ast.visitor</t>
  </si>
  <si>
    <t>HashCodeVisitor</t>
  </si>
  <si>
    <t>data/processed/prompts/insufficient_modularization/javaparser/com_github_javaparser_ast_visitor_HashCodeVisitor.txt</t>
  </si>
  <si>
    <t>com.github.javaparser.ast.Node</t>
  </si>
  <si>
    <t>DirectChildrenIterator</t>
  </si>
  <si>
    <t>data/processed/prompts/insufficient_modularization/javaparser/com_github_javaparser_ast_Node_DirectChildrenIterator.txt</t>
  </si>
  <si>
    <t>com.github.javaparser.javadoc.JavadocBlockTag</t>
  </si>
  <si>
    <t>Type</t>
  </si>
  <si>
    <t>data/processed/prompts/insufficient_modularization/javaparser/com_github_javaparser_javadoc_JavadocBlockTag_Type.txt</t>
  </si>
  <si>
    <t>org.adoptopenjdk.jitwatch.ui.report</t>
  </si>
  <si>
    <t>ReportStageType</t>
  </si>
  <si>
    <t>data/processed/prompts/insufficient_modularization/jitwatch/org_adoptopenjdk_jitwatch_ui_report_ReportStageType.txt</t>
  </si>
  <si>
    <t>net.bytebuddy.description.type.TypeDescription</t>
  </si>
  <si>
    <t>ForLoadedReturnType</t>
  </si>
  <si>
    <t>data/processed/prompts/insufficient_modularization/byte-buddy/net_bytebuddy_description_type_TypeDescription_ForLoadedReturnType.txt</t>
  </si>
  <si>
    <t>MethodResolutionLogic</t>
  </si>
  <si>
    <t>data/processed/prompts/insufficient_modularization/javaparser/com_github_javaparser_resolution_logic_MethodResolutionLogic.txt</t>
  </si>
  <si>
    <t>NullWriter</t>
  </si>
  <si>
    <t>data/processed/prompts/insufficient_modularization/commons-io/org_apache_commons_io_output_NullWriter.txt</t>
  </si>
  <si>
    <t>com.github.javaparser.symbolsolver.javassistmodel</t>
  </si>
  <si>
    <t>JavassistMethodDeclaration</t>
  </si>
  <si>
    <t>data/processed/prompts/insufficient_modularization/javaparser/com_github_javaparser_symbolsolver_javassistmodel_JavassistMethodDeclaration.txt</t>
  </si>
  <si>
    <t>net.bytebuddy.dynamic.loading.ClassLoadingStrategy</t>
  </si>
  <si>
    <t>WrappingDispatcher</t>
  </si>
  <si>
    <t>data/processed/prompts/insufficient_modularization/byte-buddy/net_bytebuddy_dynamic_loading_ClassLoadingStrategy_WrappingDispatcher.txt</t>
  </si>
  <si>
    <t>org.adoptopenjdk.jitwatch.ui.nmethod</t>
  </si>
  <si>
    <t>NMethodInfo</t>
  </si>
  <si>
    <t>data/processed/prompts/insufficient_modularization/jitwatch/org_adoptopenjdk_jitwatch_ui_nmethod_NMethodInfo.txt</t>
  </si>
  <si>
    <t>ErrorCorrectionLevel</t>
  </si>
  <si>
    <t>data/processed/prompts/insufficient_modularization/zxing/com_google_zxing_qrcode_decoder_ErrorCorrectionLevel.txt</t>
  </si>
  <si>
    <t>net.bytebuddy.dynamic.scaffold.MethodGraph</t>
  </si>
  <si>
    <t>Node</t>
  </si>
  <si>
    <t>data/processed/prompts/insufficient_modularization/byte-buddy/net_bytebuddy_dynamic_scaffold_MethodGraph_Node.txt</t>
  </si>
  <si>
    <t>com.github.javaparser.symbolsolver.javaparsermodel.declarations</t>
  </si>
  <si>
    <t>JavaParserClassDeclaration</t>
  </si>
  <si>
    <t>data/processed/prompts/insufficient_modularization/javaparser/com_github_javaparser_symbolsolver_javaparsermodel_declarations_JavaParserClassDeclaration.txt</t>
  </si>
  <si>
    <t>CiStrings</t>
  </si>
  <si>
    <t>data/processed/prompts/insufficient_modularization/commons-lang/org_apache_commons_lang3_Strings_CiStrings.txt</t>
  </si>
  <si>
    <t>net.bytebuddy.build.gradle.android.ByteBuddyAndroidPlugin</t>
  </si>
  <si>
    <t>AttributeMatchingStrategyConfigurationAction</t>
  </si>
  <si>
    <t>data/processed/prompts/insufficient_modularization/byte-buddy/net_bytebuddy_build_gradle_android_ByteBuddyAndroidPlugin_AttributeMatchingStrategyConfigurationAction.txt</t>
  </si>
  <si>
    <t>EncodeHintType</t>
  </si>
  <si>
    <t>data/processed/prompts/insufficient_modularization/zxing/com_google_zxing_EncodeHintType.txt</t>
  </si>
  <si>
    <t>net.bytebuddy.asm.MemberRemoval</t>
  </si>
  <si>
    <t>MemberRemovingClassVisitor</t>
  </si>
  <si>
    <t>data/processed/prompts/insufficient_modularization/byte-buddy/net_bytebuddy_asm_MemberRemoval_MemberRemovingClassVisitor.txt</t>
  </si>
  <si>
    <t>CookieUtil</t>
  </si>
  <si>
    <t>data/processed/prompts/insufficient_modularization/jsoup/org_jsoup_helper_CookieUtil.txt</t>
  </si>
  <si>
    <t>WithDrain</t>
  </si>
  <si>
    <t>data/processed/prompts/insufficient_modularization/byte-buddy/net_bytebuddy_dynamic_scaffold_TypeWriter_WithDrain.txt</t>
  </si>
  <si>
    <t>ArrayAccessExprContext</t>
  </si>
  <si>
    <t>data/processed/prompts/insufficient_modularization/javaparser/com_github_javaparser_symbolsolver_javaparsermodel_contexts_ArrayAccessExprContext.txt</t>
  </si>
  <si>
    <t>net.bytebuddy.utility.dispatcher.JavaDispatcher</t>
  </si>
  <si>
    <t>ForInstanceCheck</t>
  </si>
  <si>
    <t>data/processed/prompts/insufficient_modularization/byte-buddy/net_bytebuddy_utility_dispatcher_JavaDispatcher_ForInstanceCheck.txt</t>
  </si>
  <si>
    <t>com.github.javaparser.ast.type</t>
  </si>
  <si>
    <t>PrimitiveType</t>
  </si>
  <si>
    <t>data/processed/prompts/insufficient_modularization/javaparser/com_github_javaparser_ast_type_PrimitiveType.txt</t>
  </si>
  <si>
    <t>net.bytebuddy.utility.AsmClassWriter</t>
  </si>
  <si>
    <t>Suppressing</t>
  </si>
  <si>
    <t>data/processed/prompts/insufficient_modularization/byte-buddy/net_bytebuddy_utility_AsmClassWriter_Suppressing.txt</t>
  </si>
  <si>
    <t>MutableFloat</t>
  </si>
  <si>
    <t>data/processed/prompts/insufficient_modularization/commons-lang/org_apache_commons_lang3_mutable_MutableFloat.txt</t>
  </si>
  <si>
    <t>net.bytebuddy.utility.privilege</t>
  </si>
  <si>
    <t>GetSystemPropertyAction</t>
  </si>
  <si>
    <t>data/processed/prompts/insufficient_modularization/byte-buddy/net_bytebuddy_utility_privilege_GetSystemPropertyAction.txt</t>
  </si>
  <si>
    <t>AgentProvider</t>
  </si>
  <si>
    <t>data/processed/prompts/insufficient_modularization/byte-buddy/net_bytebuddy_agent_ByteBuddyAgent_AgentProvider.txt</t>
  </si>
  <si>
    <t>Source</t>
  </si>
  <si>
    <t>data/processed/prompts/insufficient_modularization/byte-buddy/net_bytebuddy_build_Plugin_Source.txt</t>
  </si>
  <si>
    <t>net.bytebuddy.utility</t>
  </si>
  <si>
    <t>StreamDrainer</t>
  </si>
  <si>
    <t>data/processed/prompts/insufficient_modularization/byte-buddy/net_bytebuddy_utility_StreamDrainer.txt</t>
  </si>
  <si>
    <t>com.github.javaparser.javasymbolsolver.javassist.symbols.main.jar</t>
  </si>
  <si>
    <t>InterfaceUserOwnJar</t>
  </si>
  <si>
    <t>data/processed/prompts/insufficient_modularization/javaparser/com_github_javaparser_javasymbolsolver_javassist_symbols_main_jar_InterfaceUserOwnJar.txt</t>
  </si>
  <si>
    <t>net.bytebuddy.build.maven</t>
  </si>
  <si>
    <t>Initialization</t>
  </si>
  <si>
    <t>data/processed/prompts/insufficient_modularization/byte-buddy/net_bytebuddy_build_maven_Initialization.txt</t>
  </si>
  <si>
    <t>net.bytebuddy.implementation.attribute</t>
  </si>
  <si>
    <t>AnnotationValueFilter</t>
  </si>
  <si>
    <t>data/processed/prompts/insufficient_modularization/byte-buddy/net_bytebuddy_implementation_attribute_AnnotationValueFilter.txt</t>
  </si>
  <si>
    <t>main.Clazz</t>
  </si>
  <si>
    <t>MyEnum</t>
  </si>
  <si>
    <t>data/processed/prompts/insufficient_modularization/javaparser/main_Clazz_MyEnum.txt</t>
  </si>
  <si>
    <t>Sort</t>
  </si>
  <si>
    <t>data/processed/prompts/insufficient_modularization/byte-buddy/net_bytebuddy_asm_MemberSubstitution_Sort.txt</t>
  </si>
  <si>
    <t>FrameGeneration</t>
  </si>
  <si>
    <t>data/processed/prompts/insufficient_modularization/byte-buddy/net_bytebuddy_implementation_Implementation_FrameGeneration.txt</t>
  </si>
  <si>
    <t>com.github.javaparser.printer.lexicalpreservation.ReshuffledDiffElementExtractor</t>
  </si>
  <si>
    <t>MatchClassification</t>
  </si>
  <si>
    <t>data/processed/prompts/insufficient_modularization/javaparser/com_github_javaparser_printer_lexicalpreservation_ReshuffledDiffElementExtractor_MatchClassification.txt</t>
  </si>
  <si>
    <t>net.bytebuddy.build.HashCodeAndEqualsPlugin</t>
  </si>
  <si>
    <t>data/processed/prompts/insufficient_modularization/byte-buddy/net_bytebuddy_build_HashCodeAndEqualsPlugin_Sort.txt</t>
  </si>
  <si>
    <t>org.adoptopenjdk.jitwatch.ui.Dialogs</t>
  </si>
  <si>
    <t>Dialog</t>
  </si>
  <si>
    <t>data/processed/prompts/insufficient_modularization/jitwatch/org_adoptopenjdk_jitwatch_ui_Dialogs_Dialog.txt</t>
  </si>
  <si>
    <t>CloneFailedException</t>
  </si>
  <si>
    <t>data/processed/prompts/insufficient_modularization/commons-lang/org_apache_commons_lang3_exception_CloneFailedException.txt</t>
  </si>
  <si>
    <t>TypeParameterMetaModel</t>
  </si>
  <si>
    <t>data/processed/prompts/insufficient_modularization/javaparser/com_github_javaparser_metamodel_TypeParameterMetaModel.txt</t>
  </si>
  <si>
    <t>com.google.zxing.datamatrix.decoder</t>
  </si>
  <si>
    <t>DataBlock</t>
  </si>
  <si>
    <t>data/processed/prompts/insufficient_modularization/zxing/com_google_zxing_datamatrix_decoder_DataBlock.txt</t>
  </si>
  <si>
    <t>Ownership</t>
  </si>
  <si>
    <t>data/processed/prompts/insufficient_modularization/byte-buddy/net_bytebuddy_description_modifier_Ownership.txt</t>
  </si>
  <si>
    <t>ForLoadedExecutable</t>
  </si>
  <si>
    <t>data/processed/prompts/insufficient_modularization/byte-buddy/net_bytebuddy_description_method_MethodDescription_ForLoadedExecutable.txt</t>
  </si>
  <si>
    <t>CreationAction</t>
  </si>
  <si>
    <t>data/processed/prompts/insufficient_modularization/byte-buddy/net_bytebuddy_utility_dispatcher_JavaDispatcher_CreationAction.txt</t>
  </si>
  <si>
    <t>org.adoptopenjdk.jitwatch.parser</t>
  </si>
  <si>
    <t>ParserFactory</t>
  </si>
  <si>
    <t>data/processed/prompts/insufficient_modularization/jitwatch/org_adoptopenjdk_jitwatch_parser_ParserFactory.txt</t>
  </si>
  <si>
    <t>ProxyOutputStream</t>
  </si>
  <si>
    <t>data/processed/prompts/insufficient_modularization/commons-io/org_apache_commons_io_output_ProxyOutputStream.txt</t>
  </si>
  <si>
    <t>org.adoptopenjdk.jitwatch.util</t>
  </si>
  <si>
    <t>StringUtil</t>
  </si>
  <si>
    <t>data/processed/prompts/insufficient_modularization/jitwatch/org_adoptopenjdk_jitwatch_util_StringUtil.txt</t>
  </si>
  <si>
    <t>com.github.javaparser</t>
  </si>
  <si>
    <t>Range</t>
  </si>
  <si>
    <t>data/processed/prompts/insufficient_modularization/javaparser/com_github_javaparser_Range.txt</t>
  </si>
  <si>
    <t>com.google.googlejavaformat.java</t>
  </si>
  <si>
    <t>Main</t>
  </si>
  <si>
    <t>data/processed/prompts/insufficient_modularization/google-java-format/com_google_googlejavaformat_java_Main.txt</t>
  </si>
  <si>
    <t>net.bytebuddy.dynamic.loading</t>
  </si>
  <si>
    <t>PackageDefinitionStrategy</t>
  </si>
  <si>
    <t>data/processed/prompts/insufficient_modularization/byte-buddy/net_bytebuddy_dynamic_loading_PackageDefinitionStrategy.txt</t>
  </si>
  <si>
    <t>org.apache.commons.io.monitor</t>
  </si>
  <si>
    <t>FileAlterationListener</t>
  </si>
  <si>
    <t>data/processed/prompts/insufficient_modularization/commons-io/org_apache_commons_io_monitor_FileAlterationListener.txt</t>
  </si>
  <si>
    <t>com.github.javaparser.ast.validator.postprocessors</t>
  </si>
  <si>
    <t>Java17PostProcessor</t>
  </si>
  <si>
    <t>data/processed/prompts/insufficient_modularization/javaparser/com_github_javaparser_ast_validator_postprocessors_Java17PostProcessor.txt</t>
  </si>
  <si>
    <t>org.apache.commons.io.output.FileWriterWithEncoding</t>
  </si>
  <si>
    <t>data/processed/prompts/insufficient_modularization/commons-io/org_apache_commons_io_output_FileWriterWithEncoding_Builder.txt</t>
  </si>
  <si>
    <t>org.apache.commons.lang3.time.FastDateParser</t>
  </si>
  <si>
    <t>NumberStrategy</t>
  </si>
  <si>
    <t>data/processed/prompts/insufficient_modularization/commons-lang/org_apache_commons_lang3_time_FastDateParser_NumberStrategy.txt</t>
  </si>
  <si>
    <t>org.apache.commons.lang3.time</t>
  </si>
  <si>
    <t>FastDateFormat</t>
  </si>
  <si>
    <t>data/processed/prompts/insufficient_modularization/commons-lang/org_apache_commons_lang3_time_FastDateFormat.txt</t>
  </si>
  <si>
    <t>com.github.javaparser.ast.validator.language.level.validations</t>
  </si>
  <si>
    <t>Java16Validator</t>
  </si>
  <si>
    <t>data/processed/prompts/insufficient_modularization/javaparser/com_github_javaparser_ast_validator_language_level_validations_Java16Validator.txt</t>
  </si>
  <si>
    <t>com.google.zxing.client.result</t>
  </si>
  <si>
    <t>AddressBookDoCoMoResultParser</t>
  </si>
  <si>
    <t>data/processed/prompts/insufficient_modularization/zxing/com_google_zxing_client_result_AddressBookDoCoMoResultParser.txt</t>
  </si>
  <si>
    <t>BitMatrix</t>
  </si>
  <si>
    <t>data/processed/prompts/insufficient_modularization/zxing/com_google_zxing_common_BitMatrix.txt</t>
  </si>
  <si>
    <t>data/processed/prompts/insufficient_modularization/byte-buddy/net_bytebuddy_asm_MemberSubstitution_Source.txt</t>
  </si>
  <si>
    <t>com.github.javaparser.utils.Log</t>
  </si>
  <si>
    <t>StandardOutStandardErrorAdapter</t>
  </si>
  <si>
    <t>data/processed/prompts/insufficient_modularization/javaparser/com_github_javaparser_utils_Log_StandardOutStandardErrorAdapter.txt</t>
  </si>
  <si>
    <t>com.google.gson.internal</t>
  </si>
  <si>
    <t>TroubleshootingGuide</t>
  </si>
  <si>
    <t>data/processed/prompts/insufficient_modularization/gson/com_google_gson_internal_TroubleshootingGuide.txt</t>
  </si>
  <si>
    <t>ForType</t>
  </si>
  <si>
    <t>data/processed/prompts/insufficient_modularization/byte-buddy/net_bytebuddy_pool_TypePool_ForType.txt</t>
  </si>
  <si>
    <t>org.adoptopenjdk.jitwatch.process.compiler</t>
  </si>
  <si>
    <t>CompilerJava</t>
  </si>
  <si>
    <t>data/processed/prompts/insufficient_modularization/jitwatch/org_adoptopenjdk_jitwatch_process_compiler_CompilerJava.txt</t>
  </si>
  <si>
    <t>(default package).InnerClassDotExpressions</t>
  </si>
  <si>
    <t>InnerClass</t>
  </si>
  <si>
    <t>data/processed/prompts/insufficient_modularization/javaparser/(default package)_InnerClassDotExpressions_InnerClass.txt</t>
  </si>
  <si>
    <t>com.google.zxing.client.j2se</t>
  </si>
  <si>
    <t>MatrixToImageConfig</t>
  </si>
  <si>
    <t>data/processed/prompts/insufficient_modularization/zxing/com_google_zxing_client_j2se_MatrixToImageConfig.txt</t>
  </si>
  <si>
    <t>PackageDescription</t>
  </si>
  <si>
    <t>data/processed/prompts/insufficient_modularization/byte-buddy/net_bytebuddy_description_type_PackageDescription.txt</t>
  </si>
  <si>
    <t>SecurityAttributes</t>
  </si>
  <si>
    <t>data/processed/prompts/insufficient_modularization/byte-buddy/net_bytebuddy_agent_VirtualMachine_SecurityAttributes.txt</t>
  </si>
  <si>
    <t>ForImplicitRecordComponent</t>
  </si>
  <si>
    <t>data/processed/prompts/insufficient_modularization/byte-buddy/net_bytebuddy_dynamic_scaffold_TypeWriter_ForImplicitRecordComponent.txt</t>
  </si>
  <si>
    <t>org.gradle.api.file</t>
  </si>
  <si>
    <t>DirectoryProperty</t>
  </si>
  <si>
    <t>data/processed/prompts/insufficient_modularization/byte-buddy/org_gradle_api_file_DirectoryProperty.txt</t>
  </si>
  <si>
    <t>com.google.common.jimfs</t>
  </si>
  <si>
    <t>JimfsFileStore</t>
  </si>
  <si>
    <t>data/processed/prompts/insufficient_modularization/jimfs/com_google_common_jimfs_JimfsFileStore.txt</t>
  </si>
  <si>
    <t>org.apache.commons.io.DirectoryWalker</t>
  </si>
  <si>
    <t>CancelException</t>
  </si>
  <si>
    <t>data/processed/prompts/insufficient_modularization/commons-io/org_apache_commons_io_DirectoryWalker_CancelException.txt</t>
  </si>
  <si>
    <t>TypeAdapterFactory</t>
  </si>
  <si>
    <t>data/processed/prompts/insufficient_modularization/gson/com_google_gson_TypeAdapterFactory.txt</t>
  </si>
  <si>
    <t>com.google.zxing.client.android.HttpHelper</t>
  </si>
  <si>
    <t>ContentType</t>
  </si>
  <si>
    <t>data/processed/prompts/insufficient_modularization/zxing/com_google_zxing_client_android_HttpHelper_ContentType.txt</t>
  </si>
  <si>
    <t>net.bytebuddy.benchmark.jmh.generated.ClassByImplementationBenchmark.benchmarkJavassist</t>
  </si>
  <si>
    <t>data/processed/prompts/insufficient_modularization/byte-buddy/net_bytebuddy_benchmark_jmh_generated_ClassByImplementationBenchmark_benchmarkJavassist_jmhTest.txt</t>
  </si>
  <si>
    <t>org.adoptopenjdk.jitwatch.parser.zing</t>
  </si>
  <si>
    <t>ZingLine</t>
  </si>
  <si>
    <t>data/processed/prompts/insufficient_modularization/jitwatch/org_adoptopenjdk_jitwatch_parser_zing_ZingLine.txt</t>
  </si>
  <si>
    <t>ByteOrderParser</t>
  </si>
  <si>
    <t>data/processed/prompts/insufficient_modularization/commons-io/org_apache_commons_io_ByteOrderParser.txt</t>
  </si>
  <si>
    <t>net.bytebuddy.NamingStrategy</t>
  </si>
  <si>
    <t>PrefixingRandom</t>
  </si>
  <si>
    <t>data/processed/prompts/insufficient_modularization/byte-buddy/net_bytebuddy_NamingStrategy_PrefixingRandom.txt</t>
  </si>
  <si>
    <t>BridgeTarget</t>
  </si>
  <si>
    <t>data/processed/prompts/insufficient_modularization/byte-buddy/net_bytebuddy_dynamic_scaffold_TypeWriter_BridgeTarget.txt</t>
  </si>
  <si>
    <t>Initializer</t>
  </si>
  <si>
    <t>data/processed/prompts/insufficient_modularization/byte-buddy/net_bytebuddy_build_AccessControllerPlugin_Initializer.txt</t>
  </si>
  <si>
    <t>org.jsoup.nodes</t>
  </si>
  <si>
    <t>Entities</t>
  </si>
  <si>
    <t>data/processed/prompts/insufficient_modularization/jsoup/org_jsoup_nodes_Entities.txt</t>
  </si>
  <si>
    <t>net.bytebuddy.implementation.LoadedTypeInitializer</t>
  </si>
  <si>
    <t>data/processed/prompts/insufficient_modularization/byte-buddy/net_bytebuddy_implementation_LoadedTypeInitializer_Compound.txt</t>
  </si>
  <si>
    <t>MethodInvoker</t>
  </si>
  <si>
    <t>data/processed/prompts/insufficient_modularization/byte-buddy/net_bytebuddy_implementation_bind_MethodDelegationBinder_MethodInvoker.txt</t>
  </si>
  <si>
    <t>com.github.javaparser.serialization</t>
  </si>
  <si>
    <t>JavaParserJsonSerializer</t>
  </si>
  <si>
    <t>data/processed/prompts/insufficient_modularization/javaparser/com_github_javaparser_serialization_JavaParserJsonSerializer.txt</t>
  </si>
  <si>
    <t>LazyAnnotationDescription</t>
  </si>
  <si>
    <t>data/processed/prompts/insufficient_modularization/byte-buddy/net_bytebuddy_pool_TypePool_LazyAnnotationDescription.txt</t>
  </si>
  <si>
    <t>net.bytebuddy.matcher</t>
  </si>
  <si>
    <t>FieldTypeMatcher</t>
  </si>
  <si>
    <t>data/processed/prompts/insufficient_modularization/byte-buddy/net_bytebuddy_matcher_FieldTypeMatcher.txt</t>
  </si>
  <si>
    <t>org.jsoup.select.Evaluator</t>
  </si>
  <si>
    <t>IsNthLastOfType</t>
  </si>
  <si>
    <t>data/processed/prompts/insufficient_modularization/jsoup/org_jsoup_select_Evaluator_IsNthLastOfType.txt</t>
  </si>
  <si>
    <t>org.apache.commons.lang3</t>
  </si>
  <si>
    <t>Validate</t>
  </si>
  <si>
    <t>data/processed/prompts/insufficient_modularization/commons-lang/org_apache_commons_lang3_Validate.txt</t>
  </si>
  <si>
    <t>net.bytebuddy.benchmark.ClassByExtensionBenchmark</t>
  </si>
  <si>
    <t>ByteBuddyPrefixInterceptor</t>
  </si>
  <si>
    <t>data/processed/prompts/insufficient_modularization/byte-buddy/net_bytebuddy_benchmark_ClassByExtensionBenchmark_ByteBuddyPrefixInterceptor.txt</t>
  </si>
  <si>
    <t>com.github.javaparser.printer.lexicalpreservation.TextElementIteratorsFactory</t>
  </si>
  <si>
    <t>EmptyIterator</t>
  </si>
  <si>
    <t>data/processed/prompts/insufficient_modularization/javaparser/com_github_javaparser_printer_lexicalpreservation_TextElementIteratorsFactory_EmptyIterator.txt</t>
  </si>
  <si>
    <t>Instantiation</t>
  </si>
  <si>
    <t>data/processed/prompts/insufficient_modularization/javaparser/com_github_javaparser_symbolsolver_resolution_typeinference_Instantiation.txt</t>
  </si>
  <si>
    <t>com.google.zxing.client.android.history</t>
  </si>
  <si>
    <t>HistoryItemAdapter</t>
  </si>
  <si>
    <t>data/processed/prompts/insufficient_modularization/zxing/com_google_zxing_client_android_history_HistoryItemAdapter.txt</t>
  </si>
  <si>
    <t>data/processed/prompts/insufficient_modularization/byte-buddy/net_bytebuddy_agent_VirtualMachine_AbstractBase.txt</t>
  </si>
  <si>
    <t>IsLastOfType</t>
  </si>
  <si>
    <t>data/processed/prompts/insufficient_modularization/jsoup/org_jsoup_select_Evaluator_IsLastOfType.txt</t>
  </si>
  <si>
    <t>net.bytebuddy.build.gradle.AbstractByteBuddyTask</t>
  </si>
  <si>
    <t>TransformationLogger</t>
  </si>
  <si>
    <t>data/processed/prompts/insufficient_modularization/byte-buddy/net_bytebuddy_build_gradle_AbstractByteBuddyTask_TransformationLogger.txt</t>
  </si>
  <si>
    <t>net.bytebuddy.implementation.bytecode</t>
  </si>
  <si>
    <t>Addition</t>
  </si>
  <si>
    <t>data/processed/prompts/insufficient_modularization/byte-buddy/net_bytebuddy_implementation_bytecode_Addition.txt</t>
  </si>
  <si>
    <t>Initializable</t>
  </si>
  <si>
    <t>data/processed/prompts/insufficient_modularization/byte-buddy/net_bytebuddy_dynamic_ClassFileLocator_Initializable.txt</t>
  </si>
  <si>
    <t>HandleInvocation</t>
  </si>
  <si>
    <t>data/processed/prompts/insufficient_modularization/byte-buddy/net_bytebuddy_implementation_bytecode_member_HandleInvocation.txt</t>
  </si>
  <si>
    <t>net.bytebuddy.implementation.attribute.MethodAttributeAppender</t>
  </si>
  <si>
    <t>ForInstrumentedMethod</t>
  </si>
  <si>
    <t>data/processed/prompts/insufficient_modularization/byte-buddy/net_bytebuddy_implementation_attribute_MethodAttributeAppender_ForInstrumentedMethod.txt</t>
  </si>
  <si>
    <t>VoidVisitor</t>
  </si>
  <si>
    <t>data/processed/prompts/insufficient_modularization/javaparser/com_github_javaparser_ast_visitor_VoidVisitor.txt</t>
  </si>
  <si>
    <t>net.bytebuddy.build.maven.ByteBuddyMojo</t>
  </si>
  <si>
    <t>FromClassLoader</t>
  </si>
  <si>
    <t>data/processed/prompts/insufficient_modularization/byte-buddy/net_bytebuddy_build_maven_ByteBuddyMojo_FromClassLoader.txt</t>
  </si>
  <si>
    <t>LineCommentMetaModel</t>
  </si>
  <si>
    <t>data/processed/prompts/insufficient_modularization/javaparser/com_github_javaparser_metamodel_LineCommentMetaModel.txt</t>
  </si>
  <si>
    <t>SimplePathVisitor</t>
  </si>
  <si>
    <t>data/processed/prompts/insufficient_modularization/commons-io/org_apache_commons_io_file_SimplePathVisitor.txt</t>
  </si>
  <si>
    <t>TimestampedObserver</t>
  </si>
  <si>
    <t>data/processed/prompts/insufficient_modularization/commons-io/org_apache_commons_io_input_TimestampedObserver.txt</t>
  </si>
  <si>
    <t>net.bytebuddy.implementation</t>
  </si>
  <si>
    <t>MethodAccessorFactory</t>
  </si>
  <si>
    <t>data/processed/prompts/insufficient_modularization/byte-buddy/net_bytebuddy_implementation_MethodAccessorFactory.txt</t>
  </si>
  <si>
    <t>org.apache.commons.io.comparator</t>
  </si>
  <si>
    <t>LastModifiedFileComparator</t>
  </si>
  <si>
    <t>data/processed/prompts/insufficient_modularization/commons-io/org_apache_commons_io_comparator_LastModifiedFileComparator.txt</t>
  </si>
  <si>
    <t>net.bytebuddy.description.ModifierReviewable</t>
  </si>
  <si>
    <t>ForParameterDescription</t>
  </si>
  <si>
    <t>data/processed/prompts/insufficient_modularization/byte-buddy/net_bytebuddy_description_ModifierReviewable_ForParameterDescription.txt</t>
  </si>
  <si>
    <t>(default package).PolymorphismTest</t>
  </si>
  <si>
    <t>Quarter</t>
  </si>
  <si>
    <t>data/processed/prompts/insufficient_modularization/jitwatch/(default package)_PolymorphismTest_Quarter.txt</t>
  </si>
  <si>
    <t>CachedRandomBits</t>
  </si>
  <si>
    <t>data/processed/prompts/insufficient_modularization/commons-lang/org_apache_commons_lang3_CachedRandomBits.txt</t>
  </si>
  <si>
    <t>com.github.javaparser.ast.expr</t>
  </si>
  <si>
    <t>CastExpr</t>
  </si>
  <si>
    <t>data/processed/prompts/insufficient_modularization/javaparser/com_github_javaparser_ast_expr_CastExpr.txt</t>
  </si>
  <si>
    <t>com.google.common.jimfs.Configuration</t>
  </si>
  <si>
    <t>WindowsHolder</t>
  </si>
  <si>
    <t>data/processed/prompts/insufficient_modularization/jimfs/com_google_common_jimfs_Configuration_WindowsHolder.txt</t>
  </si>
  <si>
    <t>net.bytebuddy.implementation.MethodDelegation</t>
  </si>
  <si>
    <t>ForStaticMethod</t>
  </si>
  <si>
    <t>data/processed/prompts/insufficient_modularization/byte-buddy/net_bytebuddy_implementation_MethodDelegation_ForStaticMethod.txt</t>
  </si>
  <si>
    <t>net.bytebuddy.benchmark.jmh.generated.SuperClassInvocationBenchmark.benchmarkByteBuddyWithProxy</t>
  </si>
  <si>
    <t>data/processed/prompts/insufficient_modularization/byte-buddy/net_bytebuddy_benchmark_jmh_generated_SuperClassInvocationBenchmark_benchmarkByteBuddyWithProxy_jmhTest.txt</t>
  </si>
  <si>
    <t>TypeCreation</t>
  </si>
  <si>
    <t>data/processed/prompts/insufficient_modularization/byte-buddy/net_bytebuddy_implementation_bytecode_TypeCreation.txt</t>
  </si>
  <si>
    <t>ForInterface</t>
  </si>
  <si>
    <t>data/processed/prompts/insufficient_modularization/byte-buddy/net_bytebuddy_dynamic_scaffold_TypeWriter_ForInterface.txt</t>
  </si>
  <si>
    <t>com.github.javaparser.symbolsolver</t>
  </si>
  <si>
    <t>SourceFileInfoExtractor</t>
  </si>
  <si>
    <t>data/processed/prompts/insufficient_modularization/javaparser/com_github_javaparser_symbolsolver_SourceFileInfoExtractor.txt</t>
  </si>
  <si>
    <t>issue241.TypeWithMemberType</t>
  </si>
  <si>
    <t>MemberInterface</t>
  </si>
  <si>
    <t>data/processed/prompts/insufficient_modularization/javaparser/issue241_TypeWithMemberType_MemberInterface.txt</t>
  </si>
  <si>
    <t>RegularFile</t>
  </si>
  <si>
    <t>data/processed/prompts/insufficient_modularization/jimfs/com_google_common_jimfs_RegularFile.txt</t>
  </si>
  <si>
    <t>com.github.javaparser.utils.VisitorList</t>
  </si>
  <si>
    <t>EqualsHashcodeOverridingFacade</t>
  </si>
  <si>
    <t>data/processed/prompts/insufficient_modularization/javaparser/com_github_javaparser_utils_VisitorList_EqualsHashcodeOverridingFacade.txt</t>
  </si>
  <si>
    <t>ForInterceptedMethodParameters</t>
  </si>
  <si>
    <t>data/processed/prompts/insufficient_modularization/byte-buddy/net_bytebuddy_implementation_InvokeDynamic_ForInterceptedMethodParameters.txt</t>
  </si>
  <si>
    <t>NodeList</t>
  </si>
  <si>
    <t>data/processed/prompts/insufficient_modularization/byte-buddy/net_bytebuddy_dynamic_scaffold_MethodGraph_NodeList.txt</t>
  </si>
  <si>
    <t>ForAnnotationValue</t>
  </si>
  <si>
    <t>data/processed/prompts/insufficient_modularization/byte-buddy/net_bytebuddy_pool_TypePool_ForAnnotationValue.txt</t>
  </si>
  <si>
    <t>TestInner</t>
  </si>
  <si>
    <t>data/processed/prompts/insufficient_modularization/jitwatch/(default package)_TestInner.txt</t>
  </si>
  <si>
    <t>BrokenReader</t>
  </si>
  <si>
    <t>data/processed/prompts/insufficient_modularization/commons-io/org_apache_commons_io_input_BrokenReader.txt</t>
  </si>
  <si>
    <t>org.adoptopenjdk.jitwatch.ui.main</t>
  </si>
  <si>
    <t>ClassMemberList</t>
  </si>
  <si>
    <t>data/processed/prompts/insufficient_modularization/jitwatch/org_adoptopenjdk_jitwatch_ui_main_ClassMemberList.txt</t>
  </si>
  <si>
    <t>ControlFlowLogic</t>
  </si>
  <si>
    <t>data/processed/prompts/insufficient_modularization/javaparser/com_github_javaparser_symbolsolver_resolution_typeinference_ControlFlowLogic.txt</t>
  </si>
  <si>
    <t>LazyInitializer</t>
  </si>
  <si>
    <t>data/processed/prompts/insufficient_modularization/commons-lang/org_apache_commons_lang3_concurrent_LazyInitializer.txt</t>
  </si>
  <si>
    <t>org.apache.commons.lang3.text</t>
  </si>
  <si>
    <t>FormatFactory</t>
  </si>
  <si>
    <t>data/processed/prompts/insufficient_modularization/commons-lang/org_apache_commons_lang3_text_FormatFactory.txt</t>
  </si>
  <si>
    <t>FileSystemView</t>
  </si>
  <si>
    <t>data/processed/prompts/insufficient_modularization/jimfs/com_google_common_jimfs_FileSystemView.txt</t>
  </si>
  <si>
    <t>data/processed/prompts/insufficient_modularization/byte-buddy/net_bytebuddy_dynamic_ClassFileLocator_NoOp.txt</t>
  </si>
  <si>
    <t>net.bytebuddy.description.type.PackageDescription</t>
  </si>
  <si>
    <t>data/processed/prompts/insufficient_modularization/byte-buddy/net_bytebuddy_description_type_PackageDescription_AbstractBase.txt</t>
  </si>
  <si>
    <t>IsFirstOfType</t>
  </si>
  <si>
    <t>data/processed/prompts/insufficient_modularization/jsoup/org_jsoup_select_Evaluator_IsFirstOfType.txt</t>
  </si>
  <si>
    <t>com.google.googlejavaformat.java.DimensionHelpers</t>
  </si>
  <si>
    <t>TypeWithDims</t>
  </si>
  <si>
    <t>data/processed/prompts/insufficient_modularization/google-java-format/com_google_googlejavaformat_java_DimensionHelpers_TypeWithDims.txt</t>
  </si>
  <si>
    <t>com.github.javaparser.JavaToken</t>
  </si>
  <si>
    <t>Kind</t>
  </si>
  <si>
    <t>data/processed/prompts/insufficient_modularization/javaparser/com_github_javaparser_JavaToken_Kind.txt</t>
  </si>
  <si>
    <t>UsingStat</t>
  </si>
  <si>
    <t>data/processed/prompts/insufficient_modularization/byte-buddy/net_bytebuddy_agent_VirtualMachine_UsingStat.txt</t>
  </si>
  <si>
    <t>CountingInputStream</t>
  </si>
  <si>
    <t>data/processed/prompts/insufficient_modularization/commons-io/org_apache_commons_io_input_CountingInputStream.txt</t>
  </si>
  <si>
    <t>LazyInterfaceList</t>
  </si>
  <si>
    <t>data/processed/prompts/insufficient_modularization/byte-buddy/net_bytebuddy_description_type_TypeDescription_LazyInterfaceList.txt</t>
  </si>
  <si>
    <t>JimfsInputStream</t>
  </si>
  <si>
    <t>data/processed/prompts/insufficient_modularization/jimfs/com_google_common_jimfs_JimfsInputStream.txt</t>
  </si>
  <si>
    <t>com.github.javaparser.symbolsolver.cache</t>
  </si>
  <si>
    <t>NoCache</t>
  </si>
  <si>
    <t>data/processed/prompts/insufficient_modularization/javaparser/com_github_javaparser_symbolsolver_cache_NoCache.txt</t>
  </si>
  <si>
    <t>com.github.javaparser.symbolsolver.core.resolution</t>
  </si>
  <si>
    <t>MethodUsageResolutionCapability</t>
  </si>
  <si>
    <t>data/processed/prompts/insufficient_modularization/javaparser/com_github_javaparser_symbolsolver_core_resolution_MethodUsageResolutionCapability.txt</t>
  </si>
  <si>
    <t>FilenameUtils</t>
  </si>
  <si>
    <t>data/processed/prompts/insufficient_modularization/commons-io/org_apache_commons_io_FilenameUtils.txt</t>
  </si>
  <si>
    <t>net.bytebuddy.implementation.bind.annotation.Binder</t>
  </si>
  <si>
    <t>FieldSetter</t>
  </si>
  <si>
    <t>data/processed/prompts/insufficient_modularization/byte-buddy/net_bytebuddy_implementation_bind_annotation_Binder_FieldSetter.txt</t>
  </si>
  <si>
    <t>ForTypeVariable</t>
  </si>
  <si>
    <t>data/processed/prompts/insufficient_modularization/byte-buddy/net_bytebuddy_description_type_TypeDescription_ForTypeVariable.txt</t>
  </si>
  <si>
    <t>YieldStmtMetaModel</t>
  </si>
  <si>
    <t>data/processed/prompts/insufficient_modularization/javaparser/com_github_javaparser_metamodel_YieldStmtMetaModel.txt</t>
  </si>
  <si>
    <t>com.google.zxing.datamatrix.decoder.Version</t>
  </si>
  <si>
    <t>ECBlocks</t>
  </si>
  <si>
    <t>data/processed/prompts/insufficient_modularization/zxing/com_google_zxing_datamatrix_decoder_Version_ECBlocks.txt</t>
  </si>
  <si>
    <t>com.github.javaparser.resolution</t>
  </si>
  <si>
    <t>Resolvable</t>
  </si>
  <si>
    <t>data/processed/prompts/insufficient_modularization/javaparser/com_github_javaparser_resolution_Resolvable.txt</t>
  </si>
  <si>
    <t>Illegal</t>
  </si>
  <si>
    <t>data/processed/prompts/insufficient_modularization/byte-buddy/net_bytebuddy_dynamic_ClassFileLocator_Illegal.txt</t>
  </si>
  <si>
    <t>com.github.javaparser.ast.validator.language.level.validations.chunks</t>
  </si>
  <si>
    <t>NoBinaryIntegerLiteralsValidator</t>
  </si>
  <si>
    <t>data/processed/prompts/insufficient_modularization/javaparser/com_github_javaparser_ast_validator_language_level_validations_chunks_NoBinaryIntegerLiteralsValidator.txt</t>
  </si>
  <si>
    <t>ForAnnotationProperty</t>
  </si>
  <si>
    <t>data/processed/prompts/insufficient_modularization/byte-buddy/net_bytebuddy_pool_TypePool_ForAnnotationProperty.txt</t>
  </si>
  <si>
    <t>net.bytebuddy.implementation.FieldAccessor</t>
  </si>
  <si>
    <t>Prepared</t>
  </si>
  <si>
    <t>data/processed/prompts/insufficient_modularization/byte-buddy/net_bytebuddy_implementation_FieldAccessor_Prepared.txt</t>
  </si>
  <si>
    <t>MethodPool</t>
  </si>
  <si>
    <t>data/processed/prompts/insufficient_modularization/byte-buddy/net_bytebuddy_dynamic_scaffold_TypeWriter_MethodPool.txt</t>
  </si>
  <si>
    <t>FormattingStyle</t>
  </si>
  <si>
    <t>data/processed/prompts/insufficient_modularization/gson/com_google_gson_FormattingStyle.txt</t>
  </si>
  <si>
    <t>org.apache.commons.io.output.AbstractByteArrayOutputStream</t>
  </si>
  <si>
    <t>InputStreamConstructor</t>
  </si>
  <si>
    <t>data/processed/prompts/insufficient_modularization/commons-io/org_apache_commons_io_output_AbstractByteArrayOutputStream_InputStreamConstructor.txt</t>
  </si>
  <si>
    <t>net.bytebuddy.description.modifier.ModifierContributor</t>
  </si>
  <si>
    <t>data/processed/prompts/insufficient_modularization/byte-buddy/net_bytebuddy_description_modifier_ModifierContributor_ForType.txt</t>
  </si>
  <si>
    <t>HttpClientExecutor</t>
  </si>
  <si>
    <t>data/processed/prompts/insufficient_modularization/jsoup/org_jsoup_helper_HttpClientExecutor.txt</t>
  </si>
  <si>
    <t>ByteBufferCleaner</t>
  </si>
  <si>
    <t>data/processed/prompts/insufficient_modularization/commons-io/org_apache_commons_io_input_ByteBufferCleaner.txt</t>
  </si>
  <si>
    <t>OfOriginalExpression</t>
  </si>
  <si>
    <t>data/processed/prompts/insufficient_modularization/byte-buddy/net_bytebuddy_asm_MemberSubstitution_OfOriginalExpression.txt</t>
  </si>
  <si>
    <t>ParameterManifestation</t>
  </si>
  <si>
    <t>data/processed/prompts/insufficient_modularization/byte-buddy/net_bytebuddy_description_modifier_ParameterManifestation.txt</t>
  </si>
  <si>
    <t>Navigator</t>
  </si>
  <si>
    <t>data/processed/prompts/insufficient_modularization/javaparser/com_github_javaparser_resolution_Navigator.txt</t>
  </si>
  <si>
    <t>org.apache.commons.lang3.builder</t>
  </si>
  <si>
    <t>HashCodeBuilder</t>
  </si>
  <si>
    <t>data/processed/prompts/insufficient_modularization/commons-lang/org_apache_commons_lang3_builder_HashCodeBuilder.txt</t>
  </si>
  <si>
    <t>net.bytebuddy.implementation.bind.annotation.TargetMethodAnnotationDrivenBinder</t>
  </si>
  <si>
    <t>Handler</t>
  </si>
  <si>
    <t>data/processed/prompts/insufficient_modularization/byte-buddy/net_bytebuddy_implementation_bind_annotation_TargetMethodAnnotationDrivenBinder_Handler.txt</t>
  </si>
  <si>
    <t>Visitor</t>
  </si>
  <si>
    <t>data/processed/prompts/insufficient_modularization/byte-buddy/net_bytebuddy_description_TypeVariableSource_Visitor.txt</t>
  </si>
  <si>
    <t>GeneratedJavaParserTokenManager</t>
  </si>
  <si>
    <t>data/processed/prompts/insufficient_modularization/javaparser/com_github_javaparser_GeneratedJavaParserTokenManager.txt</t>
  </si>
  <si>
    <t>Streams</t>
  </si>
  <si>
    <t>data/processed/prompts/insufficient_modularization/gson/com_google_gson_internal_Streams.txt</t>
  </si>
  <si>
    <t>Throw</t>
  </si>
  <si>
    <t>data/processed/prompts/insufficient_modularization/byte-buddy/net_bytebuddy_implementation_bytecode_Throw.txt</t>
  </si>
  <si>
    <t>OnMethodParameter</t>
  </si>
  <si>
    <t>data/processed/prompts/insufficient_modularization/byte-buddy/net_bytebuddy_implementation_attribute_MethodAttributeAppender_OnMethodParameter.txt</t>
  </si>
  <si>
    <t>com.github.javaparser.ast.stmt</t>
  </si>
  <si>
    <t>AssertStmt</t>
  </si>
  <si>
    <t>data/processed/prompts/insufficient_modularization/javaparser/com_github_javaparser_ast_stmt_AssertStmt.txt</t>
  </si>
  <si>
    <t>data/processed/prompts/insufficient_modularization/javaparser/com_github_javaparser_ast_type_Type.txt</t>
  </si>
  <si>
    <t>org.jsoup.parser</t>
  </si>
  <si>
    <t>ParseErrorList</t>
  </si>
  <si>
    <t>data/processed/prompts/insufficient_modularization/jsoup/org_jsoup_parser_ParseErrorList.txt</t>
  </si>
  <si>
    <t>org.apache.commons.io.input.QueueInputStream</t>
  </si>
  <si>
    <t>data/processed/prompts/insufficient_modularization/commons-io/org_apache_commons_io_input_QueueInputStream_Builder.txt</t>
  </si>
  <si>
    <t>com.google.common.jimfs.FileFactory</t>
  </si>
  <si>
    <t>SymbolicLinkSupplier</t>
  </si>
  <si>
    <t>data/processed/prompts/insufficient_modularization/jimfs/com_google_common_jimfs_FileFactory_SymbolicLinkSupplier.txt</t>
  </si>
  <si>
    <t>InjectionClassLoader</t>
  </si>
  <si>
    <t>data/processed/prompts/insufficient_modularization/byte-buddy/net_bytebuddy_dynamic_loading_InjectionClassLoader.txt</t>
  </si>
  <si>
    <t>ForSuperMethodByConstructor</t>
  </si>
  <si>
    <t>data/processed/prompts/insufficient_modularization/byte-buddy/net_bytebuddy_implementation_auxiliary_TypeProxy_ForSuperMethodByConstructor.txt</t>
  </si>
  <si>
    <t>GeneralAppIdDecoder</t>
  </si>
  <si>
    <t>data/processed/prompts/insufficient_modularization/zxing/com_google_zxing_oned_rss_expanded_decoders_GeneralAppIdDecoder.txt</t>
  </si>
  <si>
    <t>Ambiguous</t>
  </si>
  <si>
    <t>data/processed/prompts/insufficient_modularization/byte-buddy/net_bytebuddy_build_Plugin_Ambiguous.txt</t>
  </si>
  <si>
    <t>NodeFinderVisitor</t>
  </si>
  <si>
    <t>data/processed/prompts/insufficient_modularization/javaparser/com_github_javaparser_ast_visitor_NodeFinderVisitor.txt</t>
  </si>
  <si>
    <t>org.adoptopenjdk.jitwatch.ui.viewer</t>
  </si>
  <si>
    <t>TextViewerStage</t>
  </si>
  <si>
    <t>data/processed/prompts/insufficient_modularization/jitwatch/org_adoptopenjdk_jitwatch_ui_viewer_TextViewerStage.txt</t>
  </si>
  <si>
    <t>WordUtils</t>
  </si>
  <si>
    <t>data/processed/prompts/insufficient_modularization/commons-lang/org_apache_commons_lang3_text_WordUtils.txt</t>
  </si>
  <si>
    <t>com.google.zxing.client.android.encode</t>
  </si>
  <si>
    <t>Formatter</t>
  </si>
  <si>
    <t>data/processed/prompts/insufficient_modularization/zxing/com_google_zxing_client_android_encode_Formatter.txt</t>
  </si>
  <si>
    <t>com.github.javaparser.printer.concretesyntaxmodel</t>
  </si>
  <si>
    <t>CsmList</t>
  </si>
  <si>
    <t>data/processed/prompts/insufficient_modularization/javaparser/com_github_javaparser_printer_concretesyntaxmodel_CsmList.txt</t>
  </si>
  <si>
    <t>ArrayFill</t>
  </si>
  <si>
    <t>data/processed/prompts/insufficient_modularization/commons-lang/org_apache_commons_lang3_ArrayFill.txt</t>
  </si>
  <si>
    <t>Response</t>
  </si>
  <si>
    <t>data/processed/prompts/insufficient_modularization/jitwatch/org_adoptopenjdk_jitwatch_ui_Dialogs_Response.txt</t>
  </si>
  <si>
    <t>net.bytebuddy.dynamic.scaffold.inline.MethodRebaseResolver</t>
  </si>
  <si>
    <t>data/processed/prompts/insufficient_modularization/byte-buddy/net_bytebuddy_dynamic_scaffold_inline_MethodRebaseResolver_Default.txt</t>
  </si>
  <si>
    <t>ArrayUtils</t>
  </si>
  <si>
    <t>data/processed/prompts/insufficient_modularization/commons-lang/org_apache_commons_lang3_ArrayUtils.txt</t>
  </si>
  <si>
    <t>GetProjectJarsFunction</t>
  </si>
  <si>
    <t>data/processed/prompts/insufficient_modularization/byte-buddy/net_bytebuddy_build_gradle_android_ByteBuddyAndroidPlugin_GetProjectJarsFunction.txt</t>
  </si>
  <si>
    <t>ForThisReference</t>
  </si>
  <si>
    <t>data/processed/prompts/insufficient_modularization/byte-buddy/net_bytebuddy_asm_MemberSubstitution_ForThisReference.txt</t>
  </si>
  <si>
    <t>com.github.javaparser.serialization.JavaParserJsonSerializer</t>
  </si>
  <si>
    <t>JsonTokenRange</t>
  </si>
  <si>
    <t>data/processed/prompts/insufficient_modularization/javaparser/com_github_javaparser_serialization_JavaParserJsonSerializer_JsonTokenRange.txt</t>
  </si>
  <si>
    <t>OfByteCodeElement</t>
  </si>
  <si>
    <t>data/processed/prompts/insufficient_modularization/byte-buddy/net_bytebuddy_description_ModifierReviewable_OfByteCodeElement.txt</t>
  </si>
  <si>
    <t>LazyNonGenericReceiverType</t>
  </si>
  <si>
    <t>data/processed/prompts/insufficient_modularization/byte-buddy/net_bytebuddy_pool_TypePool_LazyNonGenericReceiverType.txt</t>
  </si>
  <si>
    <t>ForErasure</t>
  </si>
  <si>
    <t>data/processed/prompts/insufficient_modularization/byte-buddy/net_bytebuddy_description_type_TypeDescription_ForErasure.txt</t>
  </si>
  <si>
    <t>VINResultParser</t>
  </si>
  <si>
    <t>data/processed/prompts/insufficient_modularization/zxing/com_google_zxing_client_result_VINResultParser.txt</t>
  </si>
  <si>
    <t>MethodDefinition</t>
  </si>
  <si>
    <t>data/processed/prompts/insufficient_modularization/byte-buddy/net_bytebuddy_dynamic_DynamicType_MethodDefinition.txt</t>
  </si>
  <si>
    <t>org.apache.commons.lang3.tuple</t>
  </si>
  <si>
    <t>ImmutablePair</t>
  </si>
  <si>
    <t>data/processed/prompts/insufficient_modularization/commons-lang/org_apache_commons_lang3_tuple_ImmutablePair.txt</t>
  </si>
  <si>
    <t>org.apache.commons.lang3.time.StopWatch</t>
  </si>
  <si>
    <t>State</t>
  </si>
  <si>
    <t>data/processed/prompts/insufficient_modularization/commons-lang/org_apache_commons_lang3_time_StopWatch_State.txt</t>
  </si>
  <si>
    <t>com.google.googlejavaformat.Newlines</t>
  </si>
  <si>
    <t>LineIterator</t>
  </si>
  <si>
    <t>data/processed/prompts/insufficient_modularization/google-java-format/com_google_googlejavaformat_Newlines_LineIterator.txt</t>
  </si>
  <si>
    <t>org.apache.commons.lang3.function</t>
  </si>
  <si>
    <t>FailableCallable</t>
  </si>
  <si>
    <t>data/processed/prompts/insufficient_modularization/commons-lang/org_apache_commons_lang3_function_FailableCallable.txt</t>
  </si>
  <si>
    <t>CollectionErasureMatcher</t>
  </si>
  <si>
    <t>data/processed/prompts/insufficient_modularization/byte-buddy/net_bytebuddy_matcher_CollectionErasureMatcher.txt</t>
  </si>
  <si>
    <t>ForEachStatementContext</t>
  </si>
  <si>
    <t>data/processed/prompts/insufficient_modularization/javaparser/com_github_javaparser_symbolsolver_javaparsermodel_contexts_ForEachStatementContext.txt</t>
  </si>
  <si>
    <t>org.apache.commons.lang3.ThreadUtils</t>
  </si>
  <si>
    <t>AlwaysTruePredicate</t>
  </si>
  <si>
    <t>data/processed/prompts/insufficient_modularization/commons-lang/org_apache_commons_lang3_ThreadUtils_AlwaysTruePredicate.txt</t>
  </si>
  <si>
    <t>org.jsoup.Connection</t>
  </si>
  <si>
    <t>KeyVal</t>
  </si>
  <si>
    <t>data/processed/prompts/insufficient_modularization/jsoup/org_jsoup_Connection_KeyVal.txt</t>
  </si>
  <si>
    <t>net.bytebuddy.dynamic.loading.ClassInjector</t>
  </si>
  <si>
    <t>UsingReflection</t>
  </si>
  <si>
    <t>data/processed/prompts/insufficient_modularization/byte-buddy/net_bytebuddy_dynamic_loading_ClassInjector_UsingReflection.txt</t>
  </si>
  <si>
    <t>foo</t>
  </si>
  <si>
    <t>B</t>
  </si>
  <si>
    <t>data/processed/prompts/insufficient_modularization/javaparser/foo_B.txt</t>
  </si>
  <si>
    <t>GeneratedJavaParserBase</t>
  </si>
  <si>
    <t>data/processed/prompts/insufficient_modularization/javaparser/com_github_javaparser_GeneratedJavaParserBase.txt</t>
  </si>
  <si>
    <t>net.bytebuddy.build.CachedReturnPlugin</t>
  </si>
  <si>
    <t>AdviceResolver</t>
  </si>
  <si>
    <t>data/processed/prompts/insufficient_modularization/byte-buddy/net_bytebuddy_build_CachedReturnPlugin_AdviceResolver.txt</t>
  </si>
  <si>
    <t>Gson</t>
  </si>
  <si>
    <t>data/processed/prompts/insufficient_modularization/gson/com_google_gson_Gson.txt</t>
  </si>
  <si>
    <t>net.bytebuddy.build.gradle.android</t>
  </si>
  <si>
    <t>ByteBuddyAndroidPlugin</t>
  </si>
  <si>
    <t>data/processed/prompts/insufficient_modularization/byte-buddy/net_bytebuddy_build_gradle_android_ByteBuddyAndroidPlugin.txt</t>
  </si>
  <si>
    <t>com.google.zxing.aztec.encoder</t>
  </si>
  <si>
    <t>SimpleToken</t>
  </si>
  <si>
    <t>data/processed/prompts/insufficient_modularization/zxing/com_google_zxing_aztec_encoder_SimpleToken.txt</t>
  </si>
  <si>
    <t>ByteBuddyAndroidTaskExtension</t>
  </si>
  <si>
    <t>data/processed/prompts/insufficient_modularization/byte-buddy/net_bytebuddy_build_gradle_android_ByteBuddyAndroidTaskExtension.txt</t>
  </si>
  <si>
    <t>org.apache.commons.io.filefilter</t>
  </si>
  <si>
    <t>SymbolicLinkFileFilter</t>
  </si>
  <si>
    <t>data/processed/prompts/insufficient_modularization/commons-io/org_apache_commons_io_filefilter_SymbolicLinkFileFilter.txt</t>
  </si>
  <si>
    <t>org.apache.commons.io.file.SimplePathVisitor</t>
  </si>
  <si>
    <t>AbstractBuilder</t>
  </si>
  <si>
    <t>data/processed/prompts/insufficient_modularization/commons-io/org_apache_commons_io_file_SimplePathVisitor_AbstractBuilder.txt</t>
  </si>
  <si>
    <t>Step</t>
  </si>
  <si>
    <t>data/processed/prompts/insufficient_modularization/byte-buddy/net_bytebuddy_asm_MemberSubstitution_Step.txt</t>
  </si>
  <si>
    <t>net.bytebuddy.dynamic.scaffold.FieldRegistry</t>
  </si>
  <si>
    <t>Compiled</t>
  </si>
  <si>
    <t>data/processed/prompts/insufficient_modularization/byte-buddy/net_bytebuddy_dynamic_scaffold_FieldRegistry_Compiled.txt</t>
  </si>
  <si>
    <t>org.apache.commons.io.file.Counters</t>
  </si>
  <si>
    <t>BigIntegerCounter</t>
  </si>
  <si>
    <t>data/processed/prompts/insufficient_modularization/commons-io/org_apache_commons_io_file_Counters_BigIntegerCounter.txt</t>
  </si>
  <si>
    <t>net.bytebuddy.description.ByteCodeElement</t>
  </si>
  <si>
    <t>TokenList</t>
  </si>
  <si>
    <t>data/processed/prompts/insufficient_modularization/byte-buddy/net_bytebuddy_description_ByteCodeElement_TokenList.txt</t>
  </si>
  <si>
    <t>WithPreprocessor</t>
  </si>
  <si>
    <t>data/processed/prompts/insufficient_modularization/byte-buddy/net_bytebuddy_build_Plugin_WithPreprocessor.txt</t>
  </si>
  <si>
    <t>EncoderConfig</t>
  </si>
  <si>
    <t>data/processed/prompts/insufficient_modularization/zxing/com_google_zxing_client_j2se_EncoderConfig.txt</t>
  </si>
  <si>
    <t>Configuration</t>
  </si>
  <si>
    <t>data/processed/prompts/insufficient_modularization/jimfs/com_google_common_jimfs_Configuration.txt</t>
  </si>
  <si>
    <t>net.bytebuddy.implementation.bytecode.ByteCodeAppender</t>
  </si>
  <si>
    <t>data/processed/prompts/insufficient_modularization/byte-buddy/net_bytebuddy_implementation_bytecode_ByteCodeAppender_Compound.txt</t>
  </si>
  <si>
    <t>HistoryActivity</t>
  </si>
  <si>
    <t>data/processed/prompts/insufficient_modularization/zxing/com_google_zxing_client_android_history_HistoryActivity.txt</t>
  </si>
  <si>
    <t>(default package).MegamorphicBypass</t>
  </si>
  <si>
    <t>data/processed/prompts/insufficient_modularization/jitwatch/(default package)_MegamorphicBypass_Quarter.txt</t>
  </si>
  <si>
    <t>Explicit</t>
  </si>
  <si>
    <t>data/processed/prompts/insufficient_modularization/byte-buddy/net_bytebuddy_implementation_attribute_MethodAttributeAppender_Explicit.txt</t>
  </si>
  <si>
    <t>data/processed/prompts/insufficient_modularization/byte-buddy/net_bytebuddy_dynamic_scaffold_FieldRegistry_Default.txt</t>
  </si>
  <si>
    <t>OfMethodParameter</t>
  </si>
  <si>
    <t>data/processed/prompts/insufficient_modularization/byte-buddy/net_bytebuddy_description_type_TypeDescription_OfMethodParameter.txt</t>
  </si>
  <si>
    <t>BoundedReader</t>
  </si>
  <si>
    <t>data/processed/prompts/insufficient_modularization/commons-io/org_apache_commons_io_input_BoundedReader.txt</t>
  </si>
  <si>
    <t>ForClassConstant</t>
  </si>
  <si>
    <t>data/processed/prompts/insufficient_modularization/byte-buddy/net_bytebuddy_implementation_InvokeDynamic_ForClassConstant.txt</t>
  </si>
  <si>
    <t>net.bytebuddy.benchmark.jmh.generated.ClassByExtensionBenchmark.benchmarkByteBuddyWithProxyAndReusedDelegatorWithTypePool</t>
  </si>
  <si>
    <t>data/processed/prompts/insufficient_modularization/byte-buddy/net_bytebuddy_benchmark_jmh_generated_ClassByExtensionBenchmark_benchmarkByteBuddyWithProxyAndReusedDelegatorWithTypePool_jmhTest.txt</t>
  </si>
  <si>
    <t>BarcodeMetadata</t>
  </si>
  <si>
    <t>data/processed/prompts/insufficient_modularization/zxing/com_google_zxing_pdf417_decoder_BarcodeMetadata.txt</t>
  </si>
  <si>
    <t>NullReader</t>
  </si>
  <si>
    <t>data/processed/prompts/insufficient_modularization/commons-io/org_apache_commons_io_input_NullReader.txt</t>
  </si>
  <si>
    <t>org.adoptopenjdk.jitwatch.model</t>
  </si>
  <si>
    <t>PackageManager</t>
  </si>
  <si>
    <t>data/processed/prompts/insufficient_modularization/jitwatch/org_adoptopenjdk_jitwatch_model_PackageManager.txt</t>
  </si>
  <si>
    <t>JsonElement</t>
  </si>
  <si>
    <t>data/processed/prompts/insufficient_modularization/gson/com_google_gson_JsonElement.txt</t>
  </si>
  <si>
    <t>net.bytebuddy.dynamic.loading.ModuleLayerFromSingleClassLoaderDecorator</t>
  </si>
  <si>
    <t>ModuleDescriptor</t>
  </si>
  <si>
    <t>data/processed/prompts/insufficient_modularization/byte-buddy/net_bytebuddy_dynamic_loading_ModuleLayerFromSingleClassLoaderDecorator_ModuleDescriptor.txt</t>
  </si>
  <si>
    <t>Loaded</t>
  </si>
  <si>
    <t>data/processed/prompts/insufficient_modularization/byte-buddy/net_bytebuddy_description_annotation_AnnotationValue_Loaded.txt</t>
  </si>
  <si>
    <t>org.apache.commons.lang3.time.FastDatePrinter</t>
  </si>
  <si>
    <t>PaddedNumberField</t>
  </si>
  <si>
    <t>data/processed/prompts/insufficient_modularization/commons-lang/org_apache_commons_lang3_time_FastDatePrinter_PaddedNumberField.txt</t>
  </si>
  <si>
    <t>PatternStrategy</t>
  </si>
  <si>
    <t>data/processed/prompts/insufficient_modularization/commons-lang/org_apache_commons_lang3_time_FastDateParser_PatternStrategy.txt</t>
  </si>
  <si>
    <t>net.bytebuddy.implementation.bytecode.collection</t>
  </si>
  <si>
    <t>CollectionFactory</t>
  </si>
  <si>
    <t>data/processed/prompts/insufficient_modularization/byte-buddy/net_bytebuddy_implementation_bytecode_collection_CollectionFactory.txt</t>
  </si>
  <si>
    <t>org.apache.commons.io.function</t>
  </si>
  <si>
    <t>IOSupplier</t>
  </si>
  <si>
    <t>data/processed/prompts/insufficient_modularization/commons-io/org_apache_commons_io_function_IOSupplier.txt</t>
  </si>
  <si>
    <t>org.adoptopenjdk.jitwatch.demo</t>
  </si>
  <si>
    <t>MakeHotSpotLog</t>
  </si>
  <si>
    <t>data/processed/prompts/insufficient_modularization/jitwatch/org_adoptopenjdk_jitwatch_demo_MakeHotSpotLog.txt</t>
  </si>
  <si>
    <t>IORunnable</t>
  </si>
  <si>
    <t>data/processed/prompts/insufficient_modularization/commons-io/org_apache_commons_io_function_IORunnable.txt</t>
  </si>
  <si>
    <t>AnnotationMemberDeclaration</t>
  </si>
  <si>
    <t>data/processed/prompts/insufficient_modularization/javaparser/com_github_javaparser_ast_body_AnnotationMemberDeclaration.txt</t>
  </si>
  <si>
    <t>BaseNodeMetaModel</t>
  </si>
  <si>
    <t>data/processed/prompts/insufficient_modularization/javaparser/com_github_javaparser_metamodel_BaseNodeMetaModel.txt</t>
  </si>
  <si>
    <t>OfInvokedMethod</t>
  </si>
  <si>
    <t>data/processed/prompts/insufficient_modularization/byte-buddy/net_bytebuddy_implementation_MethodCall_OfInvokedMethod.txt</t>
  </si>
  <si>
    <t>PreferencesActivity</t>
  </si>
  <si>
    <t>data/processed/prompts/insufficient_modularization/zxing/com_google_zxing_client_android_PreferencesActivity.txt</t>
  </si>
  <si>
    <t>net.bytebuddy.matcher.CachingMatcher</t>
  </si>
  <si>
    <t>WithInlineEviction</t>
  </si>
  <si>
    <t>data/processed/prompts/insufficient_modularization/byte-buddy/net_bytebuddy_matcher_CachingMatcher_WithInlineEviction.txt</t>
  </si>
  <si>
    <t>UserLookupService</t>
  </si>
  <si>
    <t>data/processed/prompts/insufficient_modularization/jimfs/com_google_common_jimfs_UserLookupService.txt</t>
  </si>
  <si>
    <t>VoidVisitorAdapter</t>
  </si>
  <si>
    <t>data/processed/prompts/insufficient_modularization/javaparser/com_github_javaparser_ast_visitor_VoidVisitorAdapter.txt</t>
  </si>
  <si>
    <t>Resolved</t>
  </si>
  <si>
    <t>data/processed/prompts/insufficient_modularization/byte-buddy/net_bytebuddy_asm_MemberSubstitution_Resolved.txt</t>
  </si>
  <si>
    <t>net.bytebuddy.build.gradle.ObjectFactory</t>
  </si>
  <si>
    <t>ForApi4CapableGradle</t>
  </si>
  <si>
    <t>data/processed/prompts/insufficient_modularization/byte-buddy/net_bytebuddy_build_gradle_ObjectFactory_ForApi4CapableGradle.txt</t>
  </si>
  <si>
    <t>TwoDigitYearField</t>
  </si>
  <si>
    <t>data/processed/prompts/insufficient_modularization/commons-lang/org_apache_commons_lang3_time_FastDatePrinter_TwoDigitYearField.txt</t>
  </si>
  <si>
    <t>net.bytebuddy.benchmark.jmh.generated.ClassByImplementationBenchmark.baseline</t>
  </si>
  <si>
    <t>data/processed/prompts/insufficient_modularization/byte-buddy/net_bytebuddy_benchmark_jmh_generated_ClassByImplementationBenchmark_baseline_jmhTest.txt</t>
  </si>
  <si>
    <t>ForElementMatcher</t>
  </si>
  <si>
    <t>data/processed/prompts/insufficient_modularization/byte-buddy/net_bytebuddy_asm_MemberSubstitution_ForElementMatcher.txt</t>
  </si>
  <si>
    <t>com.google.gson.internal.sql</t>
  </si>
  <si>
    <t>SqlTimeTypeAdapter</t>
  </si>
  <si>
    <t>data/processed/prompts/insufficient_modularization/gson/com_google_gson_internal_sql_SqlTimeTypeAdapter.txt</t>
  </si>
  <si>
    <t>EmptyStmtMetaModel</t>
  </si>
  <si>
    <t>data/processed/prompts/insufficient_modularization/javaparser/com_github_javaparser_metamodel_EmptyStmtMetaModel.txt</t>
  </si>
  <si>
    <t>com.github.javaparser.symbolsolver.javaparsermodel.declarations.JavaParserEnumDeclaration</t>
  </si>
  <si>
    <t>ValuesMethod</t>
  </si>
  <si>
    <t>data/processed/prompts/insufficient_modularization/javaparser/com_github_javaparser_symbolsolver_javaparsermodel_declarations_JavaParserEnumDeclaration_ValuesMethod.txt</t>
  </si>
  <si>
    <t>ReversedLinesFileReader</t>
  </si>
  <si>
    <t>data/processed/prompts/insufficient_modularization/commons-io/org_apache_commons_io_input_ReversedLinesFileReader.txt</t>
  </si>
  <si>
    <t>OtherClass</t>
  </si>
  <si>
    <t>data/processed/prompts/insufficient_modularization/javaparser/foo_OtherClass.txt</t>
  </si>
  <si>
    <t>PropertyConfigurable</t>
  </si>
  <si>
    <t>data/processed/prompts/insufficient_modularization/byte-buddy/net_bytebuddy_implementation_FieldAccessor_PropertyConfigurable.txt</t>
  </si>
  <si>
    <t>com.google.common.jimfs.Configuration.WindowsHolder</t>
  </si>
  <si>
    <t>com.google.googlejavaformat.java.DimensionHelpers.TypeWithDims</t>
  </si>
  <si>
    <t>com.google.googlejavaformat.java.JavacTokens.AccessibleScanner</t>
  </si>
  <si>
    <t>foo.OtherClass</t>
  </si>
  <si>
    <t>main.Clazz.MyEnum</t>
  </si>
  <si>
    <t>net.bytebuddy.asm.MemberRemoval.MemberRemovingClassVisitor</t>
  </si>
  <si>
    <t>net.bytebuddy.build.AccessControllerPlugin.Initializer</t>
  </si>
  <si>
    <t>net.bytebuddy.build.AccessControllerPlugin.WithProperty</t>
  </si>
  <si>
    <t>net.bytebuddy.build.Plugin.Source</t>
  </si>
  <si>
    <t>net.bytebuddy.build.gradle.android.ByteBuddyAndroidPlugin.AttributeMatchingStrategyConfigurationAction</t>
  </si>
  <si>
    <t>net.bytebuddy.description.ModifierReviewable.OfByteCodeElement</t>
  </si>
  <si>
    <t>net.bytebuddy.description.TypeVariableSource.AbstractBase</t>
  </si>
  <si>
    <t>net.bytebuddy.description.method.MethodDescription.TypeToken</t>
  </si>
  <si>
    <t>net.bytebuddy.description.modifier.ParameterManifestation</t>
  </si>
  <si>
    <t>net.bytebuddy.dynamic.ClassFileLocator.ExtractionClassFileTransformer</t>
  </si>
  <si>
    <t>net.bytebuddy.dynamic.DynamicType.Initial</t>
  </si>
  <si>
    <t>net.bytebuddy.dynamic.scaffold.MethodGraph.Node</t>
  </si>
  <si>
    <t>net.bytebuddy.dynamic.scaffold.MethodGraph.NodeList</t>
  </si>
  <si>
    <t>net.bytebuddy.dynamic.scaffold.TypeWriter.Default</t>
  </si>
  <si>
    <t>net.bytebuddy.dynamic.scaffold.TypeWriter.MethodPool</t>
  </si>
  <si>
    <t>net.bytebuddy.implementation.auxiliary.TypeProxy.ForSuperMethodByConstructor</t>
  </si>
  <si>
    <t>net.bytebuddy.implementation.bind.annotation.TargetMethodAnnotationDrivenBinder.Handler</t>
  </si>
  <si>
    <t>net.bytebuddy.implementation.bytecode.member.FieldAccess.FieldGetInstruction</t>
  </si>
  <si>
    <t>net.bytebuddy.implementation.bytecode.member.HandleInvocation</t>
  </si>
  <si>
    <t>net.bytebuddy.matcher.FieldTypeMatcher</t>
  </si>
  <si>
    <t>net.bytebuddy.utility.AsmClassWriter.Suppressing</t>
  </si>
  <si>
    <t>net.bytebuddy.utility.GraalImageCode.ImageCodeContextAction</t>
  </si>
  <si>
    <t>net.bytebuddy.utility.dispatcher.JavaDispatcher.ForInstanceCheck</t>
  </si>
  <si>
    <t>org.adoptopenjdk.jitwatch.parser.zing.ZingLine</t>
  </si>
  <si>
    <t>org.adoptopenjdk.jitwatch.ui.Dialogs.Response</t>
  </si>
  <si>
    <t>org.apache.commons.io.FilenameUtils</t>
  </si>
  <si>
    <t>org.apache.commons.lang3.ArrayUtils</t>
  </si>
  <si>
    <t>org.apache.commons.lang3.text.StrBuilder.StrBuilderTokenizer</t>
  </si>
  <si>
    <t>org.apache.commons.lang3.time.FastDateParser.NumberStrategy</t>
  </si>
  <si>
    <t>org.apache.commons.lang3.time.FastDatePrinter.PaddedNumberField</t>
  </si>
  <si>
    <t>org.jsoup.Connection.KeyVal</t>
  </si>
  <si>
    <t>org.tensorflow.op.Ops</t>
  </si>
  <si>
    <t>(default package).ElisionTest</t>
  </si>
  <si>
    <t>(default package).InnerClassDotExpressions.InnerClass</t>
  </si>
  <si>
    <t>(default package).MegamorphicBypass.Quarter</t>
  </si>
  <si>
    <t>(default package).PolymorphismTest.Quarter</t>
  </si>
  <si>
    <t>(default package).TestInner</t>
  </si>
  <si>
    <t>a.b.c.ExampleClass</t>
  </si>
  <si>
    <t>com.github.javaparser.GeneratedJavaParserBase</t>
  </si>
  <si>
    <t>com.github.javaparser.GeneratedJavaParserTokenManager</t>
  </si>
  <si>
    <t>com.github.javaparser.JavaToken.Kind</t>
  </si>
  <si>
    <t>com.github.javaparser.Range</t>
  </si>
  <si>
    <t>com.github.javaparser.ast.Node.DirectChildrenIterator</t>
  </si>
  <si>
    <t>com.github.javaparser.ast.body.AnnotationMemberDeclaration</t>
  </si>
  <si>
    <t>com.github.javaparser.ast.body.ConstructorDeclaration</t>
  </si>
  <si>
    <t>com.github.javaparser.ast.expr.CastExpr</t>
  </si>
  <si>
    <t>com.github.javaparser.ast.modules.ModuleOpensDirective</t>
  </si>
  <si>
    <t>com.github.javaparser.ast.stmt.AssertStmt</t>
  </si>
  <si>
    <t>com.github.javaparser.ast.type.PrimitiveType</t>
  </si>
  <si>
    <t>com.github.javaparser.ast.type.Type</t>
  </si>
  <si>
    <t>com.github.javaparser.ast.validator.language.level.validations.Java16Validator</t>
  </si>
  <si>
    <t>com.github.javaparser.ast.validator.postprocessors.Java17PostProcessor</t>
  </si>
  <si>
    <t>com.github.javaparser.ast.visitor.HashCodeVisitor</t>
  </si>
  <si>
    <t>com.github.javaparser.ast.visitor.NodeFinderVisitor</t>
  </si>
  <si>
    <t>com.github.javaparser.ast.visitor.VoidVisitor</t>
  </si>
  <si>
    <t>com.github.javaparser.ast.visitor.VoidVisitorAdapter</t>
  </si>
  <si>
    <t>com.github.javaparser.javadoc.JavadocBlockTag.Type</t>
  </si>
  <si>
    <t>com.github.javaparser.javasymbolsolver.javassist.symbols.main.jar.InterfaceUserOwnJar</t>
  </si>
  <si>
    <t>com.github.javaparser.metamodel.BaseNodeMetaModel</t>
  </si>
  <si>
    <t>com.github.javaparser.metamodel.EmptyStmtMetaModel</t>
  </si>
  <si>
    <t>com.github.javaparser.metamodel.JavadocCommentMetaModel</t>
  </si>
  <si>
    <t>com.github.javaparser.metamodel.LineCommentMetaModel</t>
  </si>
  <si>
    <t>com.github.javaparser.metamodel.MethodReferenceExprMetaModel</t>
  </si>
  <si>
    <t>com.github.javaparser.metamodel.StringLiteralExprMetaModel</t>
  </si>
  <si>
    <t>com.github.javaparser.metamodel.TypeParameterMetaModel</t>
  </si>
  <si>
    <t>com.github.javaparser.metamodel.YieldStmtMetaModel</t>
  </si>
  <si>
    <t>com.github.javaparser.printer.XmlPrinter</t>
  </si>
  <si>
    <t>com.github.javaparser.printer.concretesyntaxmodel.CsmList</t>
  </si>
  <si>
    <t>com.github.javaparser.printer.lexicalpreservation.ReshuffledDiffElementExtractor.MatchClassification</t>
  </si>
  <si>
    <t>com.github.javaparser.printer.lexicalpreservation.TextElementIteratorsFactory.EmptyIterator</t>
  </si>
  <si>
    <t>com.github.javaparser.resolution.Navigator</t>
  </si>
  <si>
    <t>com.github.javaparser.resolution.Resolvable</t>
  </si>
  <si>
    <t>com.github.javaparser.resolution.logic.ConstructorResolutionLogic</t>
  </si>
  <si>
    <t>com.github.javaparser.resolution.logic.MethodResolutionLogic</t>
  </si>
  <si>
    <t>com.github.javaparser.serialization.JavaParserJsonSerializer.JsonTokenRange</t>
  </si>
  <si>
    <t>com.github.javaparser.symbolsolver.SourceFileInfoExtractor</t>
  </si>
  <si>
    <t>com.github.javaparser.symbolsolver.cache.NoCache</t>
  </si>
  <si>
    <t>com.github.javaparser.symbolsolver.core.resolution.MethodUsageResolutionCapability</t>
  </si>
  <si>
    <t>com.github.javaparser.symbolsolver.javaparsermodel.contexts.AnonymousClassDeclarationContext</t>
  </si>
  <si>
    <t>com.github.javaparser.symbolsolver.javaparsermodel.contexts.ArrayAccessExprContext</t>
  </si>
  <si>
    <t>com.github.javaparser.symbolsolver.javaparsermodel.contexts.ForEachStatementContext</t>
  </si>
  <si>
    <t>com.github.javaparser.symbolsolver.javaparsermodel.declarations.JavaParserClassDeclaration</t>
  </si>
  <si>
    <t>com.github.javaparser.symbolsolver.javaparsermodel.declarations.JavaParserEnumDeclaration.ValuesMethod</t>
  </si>
  <si>
    <t>com.github.javaparser.symbolsolver.javassistmodel.JavassistMethodDeclaration</t>
  </si>
  <si>
    <t>com.github.javaparser.symbolsolver.resolution.typeinference.BoundSet</t>
  </si>
  <si>
    <t>com.github.javaparser.symbolsolver.resolution.typeinference.ControlFlowLogic</t>
  </si>
  <si>
    <t>com.github.javaparser.symbolsolver.resolution.typeinference.Instantiation</t>
  </si>
  <si>
    <t>com.github.javaparser.symbolsolver.utils.FileUtils</t>
  </si>
  <si>
    <t>com.github.javaparser.utils.Log.StandardOutStandardErrorAdapter</t>
  </si>
  <si>
    <t>com.github.javaparser.utils.ParserCollectionStrategy</t>
  </si>
  <si>
    <t>com.github.javaparser.utils.VisitorList.EqualsHashcodeOverridingFacade</t>
  </si>
  <si>
    <t>com.google.common.jimfs.BasicAttributeProvider.View</t>
  </si>
  <si>
    <t>com.google.common.jimfs.FileFactory.SymbolicLinkSupplier</t>
  </si>
  <si>
    <t>com.google.common.jimfs.FileSystemView</t>
  </si>
  <si>
    <t>com.google.common.jimfs.JimfsFileStore</t>
  </si>
  <si>
    <t>com.google.common.jimfs.JimfsInputStream</t>
  </si>
  <si>
    <t>com.google.common.jimfs.RegularFile</t>
  </si>
  <si>
    <t>com.google.common.jimfs.UserLookupService.NamedPrincipal</t>
  </si>
  <si>
    <t>com.google.googlejavaformat.Newlines.LineIterator</t>
  </si>
  <si>
    <t>com.google.googlejavaformat.java.Main</t>
  </si>
  <si>
    <t>com.google.gson.FormattingStyle</t>
  </si>
  <si>
    <t>com.google.gson.Gson</t>
  </si>
  <si>
    <t>com.google.gson.JsonElement</t>
  </si>
  <si>
    <t>com.google.gson.LongSerializationPolicy</t>
  </si>
  <si>
    <t>com.google.gson.TypeAdapterFactory</t>
  </si>
  <si>
    <t>com.google.gson.internal.Streams</t>
  </si>
  <si>
    <t>com.google.gson.internal.TroubleshootingGuide</t>
  </si>
  <si>
    <t>com.google.gson.internal.bind.CollectionTypeAdapterFactory.Adapter</t>
  </si>
  <si>
    <t>com.google.gson.internal.sql.SqlTimeTypeAdapter</t>
  </si>
  <si>
    <t>com.google.zxing.EncodeHintType</t>
  </si>
  <si>
    <t>com.google.zxing.ResultPointCallback</t>
  </si>
  <si>
    <t>com.google.zxing.aztec.encoder.SimpleToken</t>
  </si>
  <si>
    <t>com.google.zxing.client.android.HttpHelper.ContentType</t>
  </si>
  <si>
    <t>com.google.zxing.client.android.Intents</t>
  </si>
  <si>
    <t>com.google.zxing.client.android.PreferencesActivity</t>
  </si>
  <si>
    <t>com.google.zxing.client.android.encode.Formatter</t>
  </si>
  <si>
    <t>com.google.zxing.client.android.encode.MECARDContactEncoder.MECARDTelDisplayFormatter</t>
  </si>
  <si>
    <t>com.google.zxing.client.android.history.HistoryActivity</t>
  </si>
  <si>
    <t>com.google.zxing.client.android.history.HistoryItemAdapter</t>
  </si>
  <si>
    <t>com.google.zxing.client.j2se.EncoderConfig</t>
  </si>
  <si>
    <t>com.google.zxing.client.j2se.MatrixToImageConfig</t>
  </si>
  <si>
    <t>com.google.zxing.client.result.AddressBookDoCoMoResultParser</t>
  </si>
  <si>
    <t>com.google.zxing.client.result.VINResultParser</t>
  </si>
  <si>
    <t>com.google.zxing.common.BitMatrix</t>
  </si>
  <si>
    <t>com.google.zxing.common.ECIEncoderSet</t>
  </si>
  <si>
    <t>com.google.zxing.common.reedsolomon.ReedSolomonEncoder</t>
  </si>
  <si>
    <t>com.google.zxing.datamatrix.decoder.DataBlock</t>
  </si>
  <si>
    <t>com.google.zxing.datamatrix.decoder.Version.ECBlocks</t>
  </si>
  <si>
    <t>com.google.zxing.datamatrix.encoder.HighLevelEncoder</t>
  </si>
  <si>
    <t>com.google.zxing.oned.CodaBarReader</t>
  </si>
  <si>
    <t>com.google.zxing.oned.rss.expanded.decoders.AI013103decoder</t>
  </si>
  <si>
    <t>com.google.zxing.oned.rss.expanded.decoders.FieldParser.DataLength</t>
  </si>
  <si>
    <t>com.google.zxing.oned.rss.expanded.decoders.GeneralAppIdDecoder</t>
  </si>
  <si>
    <t>com.google.zxing.pdf417.decoder.BarcodeMetadata</t>
  </si>
  <si>
    <t>com.google.zxing.pdf417.decoder.DetectionResultColumn</t>
  </si>
  <si>
    <t>com.google.zxing.qrcode.decoder.BitMatrixParser</t>
  </si>
  <si>
    <t>com.google.zxing.qrcode.decoder.ErrorCorrectionLevel</t>
  </si>
  <si>
    <t>com.google.zxing.web.OutputUtils</t>
  </si>
  <si>
    <t>com.packageName.ClassInPackage</t>
  </si>
  <si>
    <t>demo.Main.Callback</t>
  </si>
  <si>
    <t>foo.B</t>
  </si>
  <si>
    <t>issue241.TypeWithMemberType.MemberInterface</t>
  </si>
  <si>
    <t>net.bytebuddy.NamingStrategy.PrefixingRandom</t>
  </si>
  <si>
    <t>net.bytebuddy.agent.ByteBuddyAgent.AgentProvider</t>
  </si>
  <si>
    <t>net.bytebuddy.agent.ByteBuddyAgent.Compound</t>
  </si>
  <si>
    <t>net.bytebuddy.agent.ByteBuddyAgent.ExternalAttachment</t>
  </si>
  <si>
    <t>net.bytebuddy.agent.VirtualMachine.AbstractBase</t>
  </si>
  <si>
    <t>net.bytebuddy.agent.VirtualMachine.Dispatcher</t>
  </si>
  <si>
    <t>net.bytebuddy.agent.VirtualMachine.SecurityAttributes</t>
  </si>
  <si>
    <t>net.bytebuddy.agent.VirtualMachine.UsingStat</t>
  </si>
  <si>
    <t>net.bytebuddy.asm.AsmVisitorWrapper.NoOp</t>
  </si>
  <si>
    <t>net.bytebuddy.asm.MemberSubstitution.Dispatcher</t>
  </si>
  <si>
    <t>net.bytebuddy.asm.MemberSubstitution.Factory</t>
  </si>
  <si>
    <t>net.bytebuddy.asm.MemberSubstitution.ForElementMatcher</t>
  </si>
  <si>
    <t>net.bytebuddy.asm.MemberSubstitution.ForMatchedByteCodeElement</t>
  </si>
  <si>
    <t>net.bytebuddy.asm.MemberSubstitution.ForThisReference</t>
  </si>
  <si>
    <t>net.bytebuddy.asm.MemberSubstitution.OfOriginalExpression</t>
  </si>
  <si>
    <t>net.bytebuddy.asm.MemberSubstitution.Resolved</t>
  </si>
  <si>
    <t>net.bytebuddy.asm.MemberSubstitution.Sort</t>
  </si>
  <si>
    <t>net.bytebuddy.asm.MemberSubstitution.Source</t>
  </si>
  <si>
    <t>net.bytebuddy.asm.MemberSubstitution.Step</t>
  </si>
  <si>
    <t>net.bytebuddy.benchmark.ClassByExtensionBenchmark.ByteBuddyPrefixInterceptor</t>
  </si>
  <si>
    <t>net.bytebuddy.benchmark.jmh.generated.ClassByExtensionBenchmark.benchmarkByteBuddyWithProxyAndReusedDelegatorWithTypePool.jmhTest</t>
  </si>
  <si>
    <t>net.bytebuddy.benchmark.jmh.generated.ClassByImplementationBenchmark.baseline.jmhTest</t>
  </si>
  <si>
    <t>net.bytebuddy.benchmark.jmh.generated.ClassByImplementationBenchmark.benchmarkJavassist.jmhTest</t>
  </si>
  <si>
    <t>net.bytebuddy.benchmark.jmh.generated.SuperClassInvocationBenchmark.benchmarkByteBuddyWithPrefix.jmhTest</t>
  </si>
  <si>
    <t>net.bytebuddy.benchmark.jmh.generated.SuperClassInvocationBenchmark.benchmarkByteBuddyWithProxy.jmhTest</t>
  </si>
  <si>
    <t>net.bytebuddy.build.AccessControllerPlugin.WithoutProperty</t>
  </si>
  <si>
    <t>net.bytebuddy.build.CachedReturnPlugin.AdviceResolver</t>
  </si>
  <si>
    <t>net.bytebuddy.build.HashCodeAndEqualsPlugin.Sort</t>
  </si>
  <si>
    <t>net.bytebuddy.build.Plugin.Ambiguous</t>
  </si>
  <si>
    <t>net.bytebuddy.build.Plugin.CompoundIterator</t>
  </si>
  <si>
    <t>net.bytebuddy.build.Plugin.WithPreprocessor</t>
  </si>
  <si>
    <t>net.bytebuddy.build.gradle.AbstractByteBuddyTask.TransformationLogger</t>
  </si>
  <si>
    <t>net.bytebuddy.build.gradle.ByteBuddySimpleTaskExtension</t>
  </si>
  <si>
    <t>net.bytebuddy.build.gradle.ObjectFactory.ForApi4CapableGradle</t>
  </si>
  <si>
    <t>net.bytebuddy.build.gradle.android.ByteBuddyAndroidPlugin.GetProjectJarsFunction</t>
  </si>
  <si>
    <t>net.bytebuddy.build.gradle.android.ByteBuddyAndroidTaskExtension</t>
  </si>
  <si>
    <t>net.bytebuddy.build.maven.ByteBuddyMojo.FromClassLoader</t>
  </si>
  <si>
    <t>net.bytebuddy.build.maven.Initialization</t>
  </si>
  <si>
    <t>net.bytebuddy.description.ByteCodeElement.TokenList</t>
  </si>
  <si>
    <t>net.bytebuddy.description.ModifierReviewable.ForParameterDescription</t>
  </si>
  <si>
    <t>net.bytebuddy.description.TypeVariableSource.Visitor</t>
  </si>
  <si>
    <t>net.bytebuddy.description.annotation.AnnotationValue.Loaded</t>
  </si>
  <si>
    <t>net.bytebuddy.description.annotation.AnnotationValue.PropertyDelegate</t>
  </si>
  <si>
    <t>net.bytebuddy.description.field.FieldDescription.SignatureToken</t>
  </si>
  <si>
    <t>net.bytebuddy.description.method.MethodDescription.ForLoadedExecutable</t>
  </si>
  <si>
    <t>net.bytebuddy.description.method.MethodDescription.Latent</t>
  </si>
  <si>
    <t>net.bytebuddy.description.method.ParameterList.OfLegacyVmMethod</t>
  </si>
  <si>
    <t>net.bytebuddy.description.method.ParameterList.OfMethod</t>
  </si>
  <si>
    <t>net.bytebuddy.description.modifier.FieldManifestation</t>
  </si>
  <si>
    <t>net.bytebuddy.description.modifier.ModifierContributor.ForType</t>
  </si>
  <si>
    <t>net.bytebuddy.description.modifier.Ownership</t>
  </si>
  <si>
    <t>net.bytebuddy.description.type.PackageDescription.AbstractBase</t>
  </si>
  <si>
    <t>net.bytebuddy.description.type.RecordComponentDescription.InDefinedShape</t>
  </si>
  <si>
    <t>net.bytebuddy.description.type.TypeDescription.ForErasure</t>
  </si>
  <si>
    <t>net.bytebuddy.description.type.TypeDescription.ForLoadedReturnType</t>
  </si>
  <si>
    <t>net.bytebuddy.description.type.TypeDescription.ForTypeVariable</t>
  </si>
  <si>
    <t>net.bytebuddy.description.type.TypeDescription.LazyInterfaceList</t>
  </si>
  <si>
    <t>net.bytebuddy.description.type.TypeDescription.OfMethodParameter</t>
  </si>
  <si>
    <t>net.bytebuddy.description.type.TypeList.Empty</t>
  </si>
  <si>
    <t>net.bytebuddy.description.type.TypeVariableToken</t>
  </si>
  <si>
    <t>net.bytebuddy.dynamic.ClassFileLocator.Illegal</t>
  </si>
  <si>
    <t>net.bytebuddy.dynamic.ClassFileLocator.Initializable</t>
  </si>
  <si>
    <t>net.bytebuddy.dynamic.ClassFileLocator.NoOp</t>
  </si>
  <si>
    <t>net.bytebuddy.dynamic.DynamicType.MethodDefinition</t>
  </si>
  <si>
    <t>net.bytebuddy.dynamic.DynamicType.Unloaded</t>
  </si>
  <si>
    <t>net.bytebuddy.dynamic.NexusAccessor.Available</t>
  </si>
  <si>
    <t>net.bytebuddy.dynamic.TypeResolutionStrategy</t>
  </si>
  <si>
    <t>net.bytebuddy.dynamic.loading.ClassInjector.UsingReflection</t>
  </si>
  <si>
    <t>net.bytebuddy.dynamic.loading.ClassLoadingStrategy.WrappingDispatcher</t>
  </si>
  <si>
    <t>net.bytebuddy.dynamic.loading.InjectionClassLoader</t>
  </si>
  <si>
    <t>net.bytebuddy.dynamic.loading.ModuleLayerFromSingleClassLoaderDecorator.ModuleDescriptor</t>
  </si>
  <si>
    <t>net.bytebuddy.dynamic.loading.PackageDefinitionStrategy</t>
  </si>
  <si>
    <t>net.bytebuddy.dynamic.scaffold.FieldRegistry.Compiled</t>
  </si>
  <si>
    <t>net.bytebuddy.dynamic.scaffold.FieldRegistry.Default</t>
  </si>
  <si>
    <t>net.bytebuddy.dynamic.scaffold.TypeInitializer</t>
  </si>
  <si>
    <t>net.bytebuddy.dynamic.scaffold.TypeWriter.BridgeTarget</t>
  </si>
  <si>
    <t>net.bytebuddy.dynamic.scaffold.TypeWriter.ForImplicitRecordComponent</t>
  </si>
  <si>
    <t>net.bytebuddy.dynamic.scaffold.TypeWriter.ForInterface</t>
  </si>
  <si>
    <t>net.bytebuddy.dynamic.scaffold.TypeWriter.WithDrain</t>
  </si>
  <si>
    <t>net.bytebuddy.dynamic.scaffold.inline.MethodRebaseResolver.Default</t>
  </si>
  <si>
    <t>net.bytebuddy.implementation.FieldAccessor.Prepared</t>
  </si>
  <si>
    <t>net.bytebuddy.implementation.FieldAccessor.PropertyConfigurable</t>
  </si>
  <si>
    <t>net.bytebuddy.implementation.Implementation.Factory</t>
  </si>
  <si>
    <t>net.bytebuddy.implementation.Implementation.FrameGeneration</t>
  </si>
  <si>
    <t>net.bytebuddy.implementation.InvokeDynamic.ForClassConstant</t>
  </si>
  <si>
    <t>net.bytebuddy.implementation.InvokeDynamic.ForIntegerConstant</t>
  </si>
  <si>
    <t>net.bytebuddy.implementation.InvokeDynamic.ForInterceptedMethodParameters</t>
  </si>
  <si>
    <t>net.bytebuddy.implementation.LoadedTypeInitializer.Compound</t>
  </si>
  <si>
    <t>net.bytebuddy.implementation.MethodAccessorFactory</t>
  </si>
  <si>
    <t>net.bytebuddy.implementation.MethodCall.ForConstructingInvocation</t>
  </si>
  <si>
    <t>net.bytebuddy.implementation.MethodCall.OfInvokedMethod</t>
  </si>
  <si>
    <t>net.bytebuddy.implementation.MethodDelegation.ForStaticMethod</t>
  </si>
  <si>
    <t>net.bytebuddy.implementation.ToStringMethod.ForFixedValue</t>
  </si>
  <si>
    <t>net.bytebuddy.implementation.attribute.AnnotationAppender.OnField</t>
  </si>
  <si>
    <t>net.bytebuddy.implementation.attribute.AnnotationValueFilter</t>
  </si>
  <si>
    <t>net.bytebuddy.implementation.attribute.MethodAttributeAppender.Explicit</t>
  </si>
  <si>
    <t>net.bytebuddy.implementation.attribute.MethodAttributeAppender.ForInstrumentedMethod</t>
  </si>
  <si>
    <t>net.bytebuddy.implementation.attribute.MethodAttributeAppender.OnMethodParameter</t>
  </si>
  <si>
    <t>net.bytebuddy.implementation.auxiliary.TypeProxy.AccessorMethodInvocation</t>
  </si>
  <si>
    <t>net.bytebuddy.implementation.auxiliary.TypeProxy.MethodCall</t>
  </si>
  <si>
    <t>net.bytebuddy.implementation.auxiliary.TypeProxy.SilentConstruction</t>
  </si>
  <si>
    <t>net.bytebuddy.implementation.bind.MethodDelegationBinder.Compound</t>
  </si>
  <si>
    <t>net.bytebuddy.implementation.bind.MethodDelegationBinder.MethodInvoker</t>
  </si>
  <si>
    <t>net.bytebuddy.implementation.bind.annotation.Binder.FieldSetter</t>
  </si>
  <si>
    <t>net.bytebuddy.implementation.bytecode.Addition</t>
  </si>
  <si>
    <t>net.bytebuddy.implementation.bytecode.ByteCodeAppender.Compound</t>
  </si>
  <si>
    <t>net.bytebuddy.implementation.bytecode.Throw</t>
  </si>
  <si>
    <t>net.bytebuddy.implementation.bytecode.TypeCreation</t>
  </si>
  <si>
    <t>net.bytebuddy.implementation.bytecode.assign.primitive.PrimitiveUnboxingDelegate.UnboxingResponsible</t>
  </si>
  <si>
    <t>net.bytebuddy.implementation.bytecode.collection.CollectionFactory</t>
  </si>
  <si>
    <t>net.bytebuddy.implementation.bytecode.constant.MethodConstant.CanCacheIllegal</t>
  </si>
  <si>
    <t>net.bytebuddy.implementation.bytecode.constant.SerializedConstant</t>
  </si>
  <si>
    <t>net.bytebuddy.implementation.bytecode.member.Invokedynamic</t>
  </si>
  <si>
    <t>net.bytebuddy.matcher.CachingMatcher.WithInlineEviction</t>
  </si>
  <si>
    <t>net.bytebuddy.matcher.CollectionErasureMatcher</t>
  </si>
  <si>
    <t>net.bytebuddy.matcher.LatentMatcher.ForRecordComponentToken</t>
  </si>
  <si>
    <t>net.bytebuddy.pool.TypePool.FieldTokenList</t>
  </si>
  <si>
    <t>net.bytebuddy.pool.TypePool.ForAnnotationProperty</t>
  </si>
  <si>
    <t>net.bytebuddy.pool.TypePool.ForAnnotationValue</t>
  </si>
  <si>
    <t>net.bytebuddy.pool.TypePool.ForType</t>
  </si>
  <si>
    <t>net.bytebuddy.pool.TypePool.LazyAnnotationDescription</t>
  </si>
  <si>
    <t>net.bytebuddy.pool.TypePool.LazyAnnotationValue</t>
  </si>
  <si>
    <t>net.bytebuddy.pool.TypePool.LazyNonGenericReceiverType</t>
  </si>
  <si>
    <t>net.bytebuddy.pool.TypePool.LazyTypeVariable</t>
  </si>
  <si>
    <t>net.bytebuddy.pool.TypePool.TokenizedGenericType</t>
  </si>
  <si>
    <t>net.bytebuddy.utility.StreamDrainer</t>
  </si>
  <si>
    <t>net.bytebuddy.utility.dispatcher.JavaDispatcher.CreationAction</t>
  </si>
  <si>
    <t>net.bytebuddy.utility.privilege.GetSystemPropertyAction</t>
  </si>
  <si>
    <t>org.adoptopenjdk.jitwatch.demo.MakeHotSpotLog</t>
  </si>
  <si>
    <t>org.adoptopenjdk.jitwatch.model.PackageManager</t>
  </si>
  <si>
    <t>org.adoptopenjdk.jitwatch.model.assembly.AssemblyInstruction</t>
  </si>
  <si>
    <t>org.adoptopenjdk.jitwatch.parser.ParserFactory</t>
  </si>
  <si>
    <t>org.adoptopenjdk.jitwatch.process.compiler.CompilerJava</t>
  </si>
  <si>
    <t>org.adoptopenjdk.jitwatch.toplist.AbstractTopListVisitable</t>
  </si>
  <si>
    <t>org.adoptopenjdk.jitwatch.ui.Dialogs.Dialog</t>
  </si>
  <si>
    <t>org.adoptopenjdk.jitwatch.ui.main.ClassMemberList</t>
  </si>
  <si>
    <t>org.adoptopenjdk.jitwatch.ui.nmethod.NMethodInfo</t>
  </si>
  <si>
    <t>org.adoptopenjdk.jitwatch.ui.report.ReportStageType</t>
  </si>
  <si>
    <t>org.adoptopenjdk.jitwatch.ui.viewer.TextViewerStage</t>
  </si>
  <si>
    <t>org.adoptopenjdk.jitwatch.util.StringUtil</t>
  </si>
  <si>
    <t>org.apache.commons.io.ByteOrderParser</t>
  </si>
  <si>
    <t>org.apache.commons.io.CloseableURLConnection</t>
  </si>
  <si>
    <t>org.apache.commons.io.DirectoryWalker.CancelException</t>
  </si>
  <si>
    <t>org.apache.commons.io.comparator.LastModifiedFileComparator</t>
  </si>
  <si>
    <t>org.apache.commons.io.file.Counters.BigIntegerCounter</t>
  </si>
  <si>
    <t>org.apache.commons.io.file.CountingPathVisitor.Builder</t>
  </si>
  <si>
    <t>org.apache.commons.io.file.SimplePathVisitor.AbstractBuilder</t>
  </si>
  <si>
    <t>org.apache.commons.io.filefilter.SymbolicLinkFileFilter</t>
  </si>
  <si>
    <t>org.apache.commons.io.function.IORunnable</t>
  </si>
  <si>
    <t>org.apache.commons.io.function.IOSupplier</t>
  </si>
  <si>
    <t>org.apache.commons.io.input.BoundedReader</t>
  </si>
  <si>
    <t>org.apache.commons.io.input.BrokenReader</t>
  </si>
  <si>
    <t>org.apache.commons.io.input.ByteBufferCleaner</t>
  </si>
  <si>
    <t>org.apache.commons.io.input.CountingInputStream</t>
  </si>
  <si>
    <t>org.apache.commons.io.input.NullReader</t>
  </si>
  <si>
    <t>org.apache.commons.io.input.ObservableInputStream.Builder</t>
  </si>
  <si>
    <t>org.apache.commons.io.input.QueueInputStream.Builder</t>
  </si>
  <si>
    <t>org.apache.commons.io.input.ReversedLinesFileReader</t>
  </si>
  <si>
    <t>org.apache.commons.io.input.TimestampedObserver</t>
  </si>
  <si>
    <t>org.apache.commons.io.input.UncheckedFilterReader</t>
  </si>
  <si>
    <t>org.apache.commons.io.input.UnsynchronizedReader</t>
  </si>
  <si>
    <t>org.apache.commons.io.monitor.FileAlterationListener</t>
  </si>
  <si>
    <t>org.apache.commons.io.output.AbstractByteArrayOutputStream.InputStreamConstructor</t>
  </si>
  <si>
    <t>org.apache.commons.io.output.FileWriterWithEncoding.Builder</t>
  </si>
  <si>
    <t>org.apache.commons.io.output.NullWriter</t>
  </si>
  <si>
    <t>org.apache.commons.io.output.ProxyOutputStream</t>
  </si>
  <si>
    <t>org.apache.commons.lang3.ArrayFill</t>
  </si>
  <si>
    <t>org.apache.commons.lang3.CachedRandomBits</t>
  </si>
  <si>
    <t>org.apache.commons.lang3.Strings.CiStrings</t>
  </si>
  <si>
    <t>org.apache.commons.lang3.Strings.CsStrings</t>
  </si>
  <si>
    <t>org.apache.commons.lang3.ThreadUtils.AlwaysTruePredicate</t>
  </si>
  <si>
    <t>org.apache.commons.lang3.Validate</t>
  </si>
  <si>
    <t>org.apache.commons.lang3.builder.HashCodeBuilder</t>
  </si>
  <si>
    <t>org.apache.commons.lang3.compare.ComparableUtils</t>
  </si>
  <si>
    <t>org.apache.commons.lang3.concurrent.CallableBackgroundInitializer</t>
  </si>
  <si>
    <t>org.apache.commons.lang3.concurrent.EventCountCircuitBreaker.CheckIntervalData</t>
  </si>
  <si>
    <t>org.apache.commons.lang3.concurrent.LazyInitializer</t>
  </si>
  <si>
    <t>org.apache.commons.lang3.event.EventListenerSupport</t>
  </si>
  <si>
    <t>org.apache.commons.lang3.exception.CloneFailedException</t>
  </si>
  <si>
    <t>org.apache.commons.lang3.exception.ContextedRuntimeException</t>
  </si>
  <si>
    <t>org.apache.commons.lang3.function.FailableCallable</t>
  </si>
  <si>
    <t>org.apache.commons.lang3.mutable.Mutable</t>
  </si>
  <si>
    <t>org.apache.commons.lang3.mutable.MutableFloat</t>
  </si>
  <si>
    <t>org.apache.commons.lang3.text.FormatFactory</t>
  </si>
  <si>
    <t>org.apache.commons.lang3.text.WordUtils</t>
  </si>
  <si>
    <t>org.apache.commons.lang3.time.FastDateFormat</t>
  </si>
  <si>
    <t>org.apache.commons.lang3.time.FastDateParser.PatternStrategy</t>
  </si>
  <si>
    <t>org.apache.commons.lang3.time.FastDatePrinter.TwoDigitYearField</t>
  </si>
  <si>
    <t>org.apache.commons.lang3.time.StopWatch.State</t>
  </si>
  <si>
    <t>org.apache.commons.lang3.tuple.ImmutablePair</t>
  </si>
  <si>
    <t>org.gradle.api.file.DirectoryProperty</t>
  </si>
  <si>
    <t>org.gradle.api.tasks.PathSensitivity</t>
  </si>
  <si>
    <t>org.jsoup.helper.AuthenticationHandler.AuthShim</t>
  </si>
  <si>
    <t>org.jsoup.helper.CookieUtil</t>
  </si>
  <si>
    <t>org.jsoup.helper.HttpClientExecutor</t>
  </si>
  <si>
    <t>org.jsoup.helper.RequestDispatch</t>
  </si>
  <si>
    <t>org.jsoup.nodes.Entities</t>
  </si>
  <si>
    <t>org.jsoup.parser.ParseErrorList</t>
  </si>
  <si>
    <t>org.jsoup.safety.Cleaner</t>
  </si>
  <si>
    <t>org.jsoup.select.Evaluator.IsFirstOfType</t>
  </si>
  <si>
    <t>org.jsoup.select.Evaluator.IsLastOfType</t>
  </si>
  <si>
    <t>org.jsoup.select.Evaluator.IsNthLastOfType</t>
  </si>
  <si>
    <t>fqn</t>
  </si>
  <si>
    <t>designite</t>
  </si>
  <si>
    <t>codex</t>
  </si>
  <si>
    <t>Inspected `javaparser-symbol-solver-core/src/main/java/com/github/javaparser/symbolsolver/javaparsermodel/contexts/AnonymousClassDeclarationContext.java` (183 lines total). The class has one field, one constructor, and only 3 overridden public methods (`solveMethod`, `solveType`, `solveSymbol`), all focused on anonymous-class symbol resolution. The logic is mostly straight-line lookup/delegation to `JavaParserAnonymousClassDeclaration`, `MethodResolutionLogic`, `JavaParserFacade`, `JavaParserFactory`, and parent-context resolution, with no large set of unrelated methods or helper clusters. `JavaParserFactory.java` shows it is a specialized context created only for anonymous `ObjectCreationExpr` nodes, reinforcing that this is a focused adapter rather than an insufficiently modular monolith.</t>
  </si>
  <si>
    <t>Inspected `byte-buddy-dep/src/main/java/net/bytebuddy/dynamic/DynamicType.java` at lines 3674-3717 and 1182-1269, plus the implementation flow at 4327-4405. `Initial` is a narrow fluent builder step with only four overloads of `withParameters(...)`</t>
  </si>
  <si>
    <t>Inspected [javaparser-symbol-solver-testing/src/test/resources/differentiate_dot_expressions/com/packageName/ClassInPackage.java](/data/henrique/detecting_smells_study/codex/data/repositories/javaparser/javaparser/javaparser-symbol-solver-testing/src/test/resources/differentiate_dot_expressions/com/packageName/ClassInPackage.java) and [javaparser-symbol-solver-testing/src/test/resources/differentiate_dot_expressions/PackageDotExpressions.java](/data/henrique/detecting_smells_study/codex/data/repositories/javaparser/javaparser/javaparser-symbol-solver-testing/src/test/resources/differentiate_dot_expressions/PackageDotExpressions.java). The target class is only 7 lines long, contains exactly one public static method, has no fields or collaborating responsibilities, and is used as a simple test fixture for a single static call</t>
  </si>
  <si>
    <t>Inspected [byte-buddy-dep/src/main/java/net/bytebuddy/description/type/TypeList.java](byte-buddy-dep/src/main/java/net/bytebuddy/description/type/TypeList.java) and [byte-buddy-dep/src/main/java/net/bytebuddy/matcher/FilterableList.java](byte-buddy-dep/src/main/java/net/bytebuddy/matcher/FilterableList.java). `TypeList.Empty` has no fields and only 3 trivial overrides (`toInternalNames`, `getStackSize`, `asGenericTypes`)</t>
  </si>
  <si>
    <t>Inspected byte-buddy-dep/src/main/java/net/bytebuddy/description/type/RecordComponentDescription.java and byte-buddy-dep/src/main/java/net/bytebuddy/description/type/RecordComponentList.java. `InDefinedShape` is a thin nested interface that declares only 2 shape-specific members (`getAccessor()` and `getDeclaringType()` at lines 87-99), while behavior is split into small specialized implementations (`AbstractBase`, `ForLoadedRecordComponent`, `Latent`) rather than concentrated in one oversized unit. The surrounding list code treats it as a type marker/adapter, not a multi-responsibility class, so there is no evidence of insufficient modularization.</t>
  </si>
  <si>
    <t>Inspected `src/main/java/org/apache/commons/io/CloseableURLConnection.java` (275 lines). The class has one field (`URLConnection urlConnection`) and its methods are almost entirely one-line delegations plus two factory methods and `close()`, so it behaves as a thin adapter that adds `AutoCloseable` to a `URLConnection`, not as a class with multiple decomposable responsibilities. Call sites in `src/main/java/org/apache/commons/io/IOUtils.java` and `src/main/java/org/apache/commons/io/FileUtils.java` use it only for that narrow purpose.</t>
  </si>
  <si>
    <t>Inspected [byte-buddy-dep/src/main/java/net/bytebuddy/implementation/bind/MethodDelegationBinder.java](...#L951) and [byte-buddy-dep/src/test/java/net/bytebuddy/implementation/bind/MethodDelegationBinderAmbiguityResolverChainTest.java](...#L1). `Compound` is a small nested utility with one field (`ambiguityResolvers`), two constructors, and one `resolve` method</t>
  </si>
  <si>
    <t>Inspected [core/src/main/java/com/google/zxing/ResultPointCallback.java](/data/henrique/detecting_smells_study/codex/data/repositories/zxing/zxing/core/src/main/java/com/google/zxing/ResultPointCallback.java), [core/src/main/java/com/google/zxing/qrcode/detector/Detector.java](/data/henrique/detecting_smells_study/codex/data/repositories/zxing/zxing/core/src/main/java/com/google/zxing/qrcode/detector/Detector.java), [core/src/main/java/com/google/zxing/qrcode/detector/FinderPatternFinder.java](/data/henrique/detecting_smells_study/codex/data/repositories/zxing/zxing/core/src/main/java/com/google/zxing/qrcode/detector/FinderPatternFinder.java), and [android/src/com/google/zxing/client/android/ViewfinderResultPointCallback.java](/data/henrique/detecting_smells_study/codex/data/repositories/zxing/zxing/android/src/com/google/zxing/client/android/ViewfinderResultPointCallback.java). The target is a tiny single-method interface (`foundPossibleResultPoint(ResultPoint)` only) used as a callback hook, with no internal state, no branching, and no multiple responsibilities</t>
  </si>
  <si>
    <t>`byte-buddy-dep/src/main/java/net/bytebuddy/dynamic/scaffold/inline/MethodRebaseResolver.java` is 580 lines and contains 9 nested types: the main interface, `Disabled`, `Resolution`, `Resolution.Preserved`, `Resolution.ForRebasedMethod` with nested `RebasedMethod`, `Resolution.ForRebasedConstructor` with nested `RebasedConstructor`, and `Default` with a `make` factory plus resolver/map logic. That file mixes several distinct responsibilities (strategy contract, no-op implementation, rebased-method modeling, rebased-constructor modeling, and resolution assembly), which is strong evidence of insufficient modularization. The focused tests in `MethodRebaseResolverDefaultTest.java`, `MethodRebaseResolverResolutionPreservedTest.java`, `MethodRebaseResolverResolutionForRebasedMethodTest.java`, and `MethodRebaseResolverResolutionForRebasedConstructorTest.java` also reflect these separate concerns.</t>
  </si>
  <si>
    <t>Inspected byte-buddy-dep/src/main/java/net/bytebuddy/implementation/bytecode/assign/primitive/PrimitiveUnboxingDelegate.java. The target is a nested interface at lines 285-297 with no fields and exactly one method, `assignUnboxedTo(...)`</t>
  </si>
  <si>
    <t>Inspected `core/src/main/resources/examples/ElisionTest.java` (27 lines, default package) and sibling `core/src/main/resources/examples/ElisionTest2.java` for context. `ElisionTest` contains only two methods: a constructor with a single linear benchmark-like routine over a `Vector&lt;Long&gt;` and a trivial `main` that instantiates the class. The class is small, cohesive, and shows no excessive method count, public API surface, or multiple separable responsibilities, so insufficient modularization is not indicated.</t>
  </si>
  <si>
    <t>`byte-buddy-dep/src/main/java/net/bytebuddy/NamingStrategy.java` is a 559-line class file that bundles the interface, an abstract base, three concrete naming strategies (`Suffixing`, `SuffixingRandom`, `PrefixingRandom`), and a nested `BaseNameResolver` hierarchy with multiple resolver implementations plus deprecated compatibility wrappers and many overloaded constructors. `byte-buddy-dep/src/test/java/net/bytebuddy/NamingStrategyTest.java` exercises these pieces as separate behaviors (suffixing, random suffixing, prefixing, resolver variants, caller suffix), which is evidence of several separable responsibilities packed into one unit.</t>
  </si>
  <si>
    <t>Inspected `byte-buddy-dep/src/main/java/net/bytebuddy/implementation/MethodCall.java` (around lines 2125-2189 and 275-295) and `byte-buddy-dep/src/test/java/net/bytebuddy/implementation/MethodCallTest.java`. `ForConstructingInvocation` is a small nested helper with one field (`instrumentedType`), one constructor, three simple instance methods (`resolve`, `getTypeDescription`, `toStackManipulation`), and a tiny singleton factory</t>
  </si>
  <si>
    <t>In `src/main/java/org/apache/commons/io/input/UnsynchronizedReader.java`, the class is a small abstract base with one constructor, one package-private `checkOpen()` helper, `close()`, `isClosed()`, `setClosed()`, and a generic `skip(long)` implementation</t>
  </si>
  <si>
    <t>Inspected [byte-buddy-dep/src/main/java/net/bytebuddy/dynamic/scaffold/TypeInitializer.java](/data/henrique/detecting_smells_study/codex/data/repositories/raphw/byte-buddy/byte-buddy-dep/src/main/java/net/bytebuddy/dynamic/scaffold/TypeInitializer.java): it is a small interface with only 3 core methods (`isDefined`, `expandWith`, `wrap`) plus two focused nested implementations (`None`, `Simple`) and one nested helper (`Drain.Default`). The file is ~200 lines including comments, and each nested type has a single cohesive role rather than many unrelated responsibilities. The tests in [TypeInitializerTest.java](/data/henrique/detecting_smells_study/codex/data/repositories/raphw/byte-buddy/byte-buddy-dep/src/test/java/net/bytebuddy/description/type/TypeInitializerTest.java) and [TypeInitializerDrainDefaultTest.java](/data/henrique/detecting_smells_study/codex/data/repositories/raphw/byte-buddy/byte-buddy-dep/src/test/java/net/bytebuddy/dynamic/scaffold/TypeInitializerDrainDefaultTest.java) also show narrowly separated behavior, so there is not strong evidence of insufficient modularization.</t>
  </si>
  <si>
    <t>Inspected `src/main/java/org/apache/commons/io/input/ObservableInputStream.java` and `src/main/java/org/apache/commons/io/input/ProxyInputStream.java`. The target `Builder` is only lines 79-91 in `ObservableInputStream.java`: one empty constructor and one override of `get()` that just returns `new ObservableInputStream(this)`. It holds no own fields or additional behavior</t>
  </si>
  <si>
    <t>Inspected `javaparser-core-testing/src/test/resources/com/github/javaparser/utils/projectroot/issue2615/with_module_info/demo/Main.java` (the same `demo/Main.java` body also appears in the `without_module_info` and `with_module_info_in_root` fixtures) and `javaparser-core-testing/src/test/java/com/github/javaparser/utils/ParserCollectionStrategyTest.java`. `Callback` is a private static inner class with exactly one overridden method, `process(Path, Path, ParseResult&lt;CompilationUnit&gt;)`, spanning 4 executable lines: it only prints `Found %s` and returns the constant `Result.SAVE`. There is no sign of multiple responsibilities, large size, or separable method groups, so insufficient modularization is not present.</t>
  </si>
  <si>
    <t>Inspected `core/src/main/java/com/google/zxing/oned/CodaBarReader.java` (343 lines, 8 methods total). The class has one main public behavior (`decodeRow`) plus a constructor</t>
  </si>
  <si>
    <t>Inspected src/main/java/org/apache/commons/io/output/FileWriterWithEncoding.java (384 lines) and src/test/java/org/apache/commons/io/output/FileWriterWithEncodingTest.java. The class has one cohesive responsibility: creating a Writer for a file with configurable encoding. Its public surface is mostly overloaded deprecated constructors that delegate to a single private initWriter(...) helper or the nested Builder, and the remaining logic is small construction/validation code plus a private OutputStreamWriter wrapper constructor. I do not see multiple substantial responsibilities, large method bodies, or a need to split the class into separate abstractions.</t>
  </si>
  <si>
    <t>Inspected `byte-buddy-dep/src/main/java/net/bytebuddy/implementation/ToStringMethod.java` (lines 388-410). `ForFixedValue` is a tiny nested helper with exactly one state field (`prefix`), one constructor, and one public method `resolve(TypeDescription)` that simply returns the stored prefix. It has no branching, no additional behavior, and no separable responsibilities, so there is no evidence of insufficient modularization.</t>
  </si>
  <si>
    <t>Inspected `byte-buddy-dep/src/main/java/net/bytebuddy/dynamic/NexusAccessor.java` (especially lines 269-327). `Available` is a small nested dispatcher with only 2 fields (`register`, `clean`) and 3 methods (`isAlive`, `clean`, `register`), each delegating directly to reflective `Method.invoke` calls. The surrounding class already separates concerns into `InitializationAppender`, `Dispatcher.CreationAction`, `Available`, and `Unavailable`, so there is no evidence of excessive size, many responsibilities, or low cohesion in `Available`.</t>
  </si>
  <si>
    <t>Inspected `jimfs/src/main/java/com/google/common/jimfs/BasicAttributeProvider.java` and `jimfs/src/main/java/com/google/common/jimfs/AbstractAttributeView.java`. The nested `View` is a private adapter with one constructor and only 3 methods (`name`, `readAttributes`, `setTimes`)</t>
  </si>
  <si>
    <t>`core/src/main/java/com/google/zxing/qrcode/decoder/BitMatrixParser.java` is 245 LOC and concentrates several separable responsibilities in one class: `readFormatInformation()` and `readVersion()` parse metadata, `readCodewords()` performs the full data traversal/unmasking, and `remask()`, `setMirror()`, and `mirror()` manage parser state and matrix transformation. `core/src/main/java/com/google/zxing/qrcode/decoder/Decoder.java:76-117` uses the same class for all of those phases, which is consistent with a monolithic parser that could be split into smaller, more cohesive abstractions.</t>
  </si>
  <si>
    <t>Inspected src/main/java/org/apache/commons/io/file/CountingPathVisitor.java (325 lines) and src/test/java/org/apache/commons/io/file/CountingPathVisitorTest.java (89 lines). The class is centered on one concern: counting file, directory, and byte visits, with only a small set of fields (`PathCounters`, file/directory filters, transformer) and a narrow set of methods for builder setup, visit callbacks, and counter updates. The related subclasses `AccumulatorPathVisitor` and `CleaningPathVisitor` show that other behaviors have already been split out rather than left inside this class. The dedicated test file exercises only counting behavior and `toString`, which supports a cohesive, not overgrown, design.</t>
  </si>
  <si>
    <t>Inspected `gson/src/main/java/com/google/gson/internal/bind/CollectionTypeAdapterFactory.java` (lines 33-105). The nested `Adapter&lt;E&gt;` is only ~40 lines and has one constructor plus exactly two behaviors: `read(JsonReader)` and `write(JsonWriter)`, both focused solely on collection array deserialization/serialization. It stores just two fields (`elementTypeAdapter`, `constructor`) and has no extra branches beyond null handling and simple iteration, so there is no evidence of excessive size, many methods, or multiple responsibilities.</t>
  </si>
  <si>
    <t>Inspected src/main/java/org/apache/commons/lang3/compare/ComparableUtils.java and src/test/java/org/apache/commons/lang3/compare/ComparableUtilsTest.java. The class is 246 lines and contains one private constructor, one nested ComparableCheckBuilder with 6 public comparison predicates plus 2 private helpers, and 9 public static factory/utility methods</t>
  </si>
  <si>
    <t>Inspected android/src/com/google/zxing/client/android/Intents.java (304 lines). It is a final utility holder with a private constructor, 6 nested static namespaces (Scan, History, Encode, SearchBookContents, WifiConnect, Share), 37 String constants and 1 int constant, and no instance methods or behavioral logic. The contents are cohesive intent-API constants rather than a class with separable responsibilities, so insufficient modularization is not evident.</t>
  </si>
  <si>
    <t>Inspected src/main/java/org/apache/commons/lang3/concurrent/CallableBackgroundInitializer.java (126 LOC) and src/main/java/org/apache/commons/lang3/concurrent/BackgroundInitializer.java plus src/test/java/org/apache/commons/lang3/concurrent/CallableBackgroundInitializerTest.java. The target class is a thin adapter with only two constructors, a null-check helper, getTypedException(), and initialize() delegating directly to callable.call()</t>
  </si>
  <si>
    <t>Inspected `byte-buddy-dep/src/main/java/net/bytebuddy/asm/AsmVisitorWrapper.java` and `byte-buddy-dep/src/test/java/net/bytebuddy/asm/AsmVisitorWrapperNoOpTest.java`. `NoOp` is a singleton enum with no fields and only three trivial pass-through methods (`mergeWriter`, `mergeReader`, `wrap`) that return the input unchanged</t>
  </si>
  <si>
    <t>Inspected `core/src/main/java/org/adoptopenjdk/jitwatch/toplist/AbstractTopListVisitable.java` (81 lines) plus `AbstractCompilationVisitable.java`, `TreeVisitor.java`, and the subclasses `CompileTimeTopListVisitable.java`, `InliningFailReasonTopListVisitable.java`, and `StaleTaskToplistVisitable.java`. The target class is a thin abstract template: it only stores shared state (`model`, `topList`, `sortHighToLow`), provides one concrete orchestration method (`buildTopList`), and exposes empty hooks (`reset`, `postProcess`, `visitTag`) for subclasses. The actual per-smell responsibilities are split into focused subclasses, and tree traversal is already separated in `TreeVisitor.walkTree`, so the class does not show excessive responsibilities or lack of decomposition.</t>
  </si>
  <si>
    <t>Inspected `byte-buddy-dep/src/main/java/net/bytebuddy/description/modifier/FieldManifestation.java` and `byte-buddy-dep/src/test/java/net/bytebuddy/description/modifier/FieldManifestationTest.java`. The target is a small enum with only 3 constants (`PLAIN`, `FINAL`, `VOLATILE`), 1 field, 1 constructor, and 4 simple query methods (`getMask`, `getRange`, `isDefault`, `isFinal`, `isVolatile`, `isPlain`)</t>
  </si>
  <si>
    <t>Inspected `byte-buddy-dep/src/main/java/net/bytebuddy/description/method/ParameterList.java` and `byte-buddy-dep/src/test/java/net/bytebuddy/description/method/ParameterListExplicitTest.java` (plus `MethodDescription.java` for context). `OfMethod` is a very small nested class: it only has a protected constructor and a single `get(int)` override, while shared behavior is factored into `ForLoadedExecutable` and the legacy/constructor variants are split into separate nested classes. This is a thin adapter for method parameters, not a class with excessive size or multiple poorly separated responsibilities.</t>
  </si>
  <si>
    <t>No checked-in source for `net.bytebuddy.benchmark.jmh.generated.SuperClassInvocationBenchmark.benchmarkByteBuddyWithPrefix.jmhTest` was found in the repo search</t>
  </si>
  <si>
    <t>Inspected core/src/main/java/com/google/zxing/oned/rss/expanded/decoders/AI013103decoder.java, core/src/main/java/com/google/zxing/oned/rss/expanded/decoders/AI013x0xDecoder.java, and core/src/main/java/com/google/zxing/oned/rss/expanded/decoders/AI01weightDecoder.java. AI013103decoder is only 15 lines of behavior: one constructor and two one-line overrides (addWeightCode returns "(3103)", checkWeight returns the input). The shared parsing and weight-encoding logic is already factored into the superclass chain, so this class is a narrow specialization rather than an insufficiently modular unit.</t>
  </si>
  <si>
    <t>Inspected `javaparser-symbol-solver-core/src/main/java/com/github/javaparser/symbolsolver/utils/FileUtils.java` and its only client usage in `javaparser-symbol-solver-core/src/main/java/com/github/javaparser/symbolsolver/resolution/typesolvers/JavaParserTypeSolver.java`. `FileUtils` is a tiny utility class with just 2 public static methods (`isValidPath`, `getParentPath`) and no additional state or responsibilities, so there is no evidence of excessive size, low cohesion, or a decomposable cluster of behaviors.</t>
  </si>
  <si>
    <t>Inspected src/main/java/org/apache/commons/lang3/event/EventListenerSupport.java and src/test/java/org/apache/commons/lang3/event/EventListenerSupportTest.java. The class is ~360 lines with a small, cohesive API centered on one responsibility: manage a listener list, expose a fire() proxy, and handle serialization/proxy reconstitution. Its inner ProxyInvocationHandler and writeObject/readObject methods are support code for that same abstraction, not separate responsibilities, and the test file exercises exactly those behaviors (add/remove/getListeners/fire/serialization/subclassing), with no sign of multiple unrelated concerns or excessive method sprawl.</t>
  </si>
  <si>
    <t>Inspected [src/main/java/org/apache/commons/lang3/Strings.java](/data/henrique/detecting_smells_study/codex/data/repositories/apache/commons-lang/src/main/java/org/apache/commons/lang3/Strings.java): `CsStrings` is a private static nested class (lines 198-263) with one constructor and 6 small overrides (`compare`, `contains`, `equals` for `CharSequence`, `equals` for `String`, `indexOf`, `lastIndexOf`). It only implements the case-sensitive variant of the surrounding `Strings` abstraction and is structurally compact, with no evidence of many responsibilities, large size, or low cohesion.</t>
  </si>
  <si>
    <t>Inspected `zxingorg/src/main/java/com/google/zxing/web/OutputUtils.java`, `zxingorg/src/test/java/com/google/zxing/web/OutputUtilsTestCase.java`, and `zxingorg/src/main/webapp/w/decoderesult.jspx`. The class is tiny (55 lines), has only 1 public method (`arrayToString(byte[])`) plus 1 private helper and 2 constants, and its documented purpose is a single narrow concern: formatting raw bytes for `decoderesult.jspx`. It is used in only one production call site and one test, with no evidence of multiple responsibilities, many public methods, or separable concern groups.</t>
  </si>
  <si>
    <t>Inspected byte-buddy-dep/src/main/java/net/bytebuddy/asm/MemberSubstitution.java. The nested Dispatcher type is a small, cohesive dispatch abstraction: it has one abstract resolve() method, plus nested Resolved and Factory interfaces, and only two concrete strategies, ForRegularInvocation and ForDynamicInvocation, each limited to one invocation mode (lines 6281-6536). The surrounding code uses Dispatcher only to build substitution steps and bootstraps (e.g. to(...) at lines 2991-3008 and bootstrap(...) at line 7211), so there is no strong evidence of many unrelated methods or responsibilities that would indicate insufficient modularization.</t>
  </si>
  <si>
    <t>Inspected byte-buddy-dep/src/main/java/net/bytebuddy/implementation/bytecode/member/Invokedynamic.java and byte-buddy-dep/src/test/java/net/bytebuddy/implementation/bytecode/member/InvokedynamicTest.java. The class is small (87 lines), has only four state fields, one constructor, and one behavioral method (`apply`)</t>
  </si>
  <si>
    <t>Inspected byte-buddy-dep/src/main/java/net/bytebuddy/description/method/ParameterList.java (lines 372-417) and byte-buddy-dep/src/main/java/net/bytebuddy/description/method/ParameterDescription.java (lines 543-623). `OfLegacyVmMethod` is a very small adapter with 3 fields, 1 constructor, and only 2 trivial methods (`get` and `size`)</t>
  </si>
  <si>
    <t>Inspected [javaparser-core/src/main/java/com/github/javaparser/utils/ParserCollectionStrategy.java](/data/henrique/detecting_smells_study/codex/data/repositories/javaparser/javaparser/javaparser-core/src/main/java/com/github/javaparser/utils/ParserCollectionStrategy.java) and [javaparser-core/src/main/java/com/github/javaparser/utils/CollectionStrategy.java](/data/henrique/detecting_smells_study/codex/data/repositories/javaparser/javaparser/javaparser-core/src/main/java/com/github/javaparser/utils/CollectionStrategy.java). The class is only 104 lines long, has one field, two constructors, and just two public overrides (`getParserConfiguration`, `collect`)</t>
  </si>
  <si>
    <t>Inspected `byte-buddy-gradle-plugin/src/main/java-gradle-api/org/gradle/api/tasks/PathSensitivity.java` (42 lines) and the related `byte-buddy-gradle-plugin/src/main/java-gradle-api/org/gradle/api/tasks/PathSensitive.java`. `PathSensitivity` is a tiny enum with only 4 constants (`ABSOLUTE`, `NAME_ONLY`, `NONE`, `RELATIVE`) and no methods or internal logic, so there is no evidence of excessive size, multiple responsibilities, or separable concerns.</t>
  </si>
  <si>
    <t>Inspected src/main/java/org/apache/commons/io/input/UncheckedFilterReader.java and src/test/java/org/apache/commons/io/input/UncheckedFilterReaderTest.java. The class is a thin wrapper over FilterReader: it has one nested Builder, one private constructor, and only 8 public overrides (close, mark, read variants, ready, reset, skip), each just delegating to the superclass through Uncheck with no extra fields or separate responsibilities. The test file exercises the same single concern, confirming it behaves as an unchecked I/O adapter rather than a class that needs splitting.</t>
  </si>
  <si>
    <t>Inspected `byte-buddy-dep/src/main/java/net/bytebuddy/implementation/auxiliary/TypeProxy.java` (lines 599-710) and `byte-buddy-dep/src/test/java/net/bytebuddy/implementation/auxiliary/TypeProxyCreationTest.java` (lines 343-360). `MethodCall` is a compact inner implementation with only two entry points (`prepare` and `appender`) and two small nested helpers (`Appender` and `AccessorMethodInvocation`), all centered on one concern: defining the `target` field and emitting proxy dispatch bytecode. The code does not show excessive size, many public methods, or clearly separable responsibilities, so insufficient modularization is not evident.</t>
  </si>
  <si>
    <t>Inspected src/main/java/org/jsoup/helper/AuthenticationHandler.java and src/main/java11/org/jsoup/helper/RequestAuthHandler.java. AuthShim is only a 3-method nested interface (enable, remove, get) with no state, and its two implementations are small adapters for Java 8 global Authenticator vs Java 9+ per-request auth. The code shows a narrow bridge abstraction rather than a class with multiple responsibilities or excessive internal decomposition needs.</t>
  </si>
  <si>
    <t>Inspected byte-buddy-dep/src/main/java/net/bytebuddy/implementation/InvokeDynamic.java (lines 1871-1903) and byte-buddy-dep/src/test/java/net/bytebuddy/implementation/InvokeDynamicTest.java (lines 192-236). ForIntegerConstant is a small inner helper with one field, one constructor, and only two trivial methods (`resolve` returns an `IntegerConstant`/`int.class` pair</t>
  </si>
  <si>
    <t>Inspected javaparser-core/src/main/java/com/github/javaparser/resolution/logic/ConstructorResolutionLogic.java (217 lines, 5 methods: 3 public, 2 private) and javaparser-symbol-solver-core/src/main/java/com/github/javaparser/symbolsolver/javaparsermodel/JavaParserFacade.java plus JavaParserTypeDeclarationAdapter.java. The class is cohesive: all methods are narrowly about constructor applicability, variadic argument grouping, and most-applicable selection/ambiguity handling, with no unrelated responsibilities or large method fan-out suggesting a need to split it further.</t>
  </si>
  <si>
    <t>Inspected `javaparser-core/src/main/java/com/github/javaparser/ast/modules/ModuleOpensDirective.java` plus `ModuleDirective.java` and sibling `ModuleExportsDirective.java`. `ModuleOpensDirective` is small (210 lines), has only 2 state fields (`name`, `moduleNames`), and its methods are mostly generated AST boilerplate: constructor wiring, visitor/clone hooks, property accessors, type-casting helpers, and meta-model access. The only custom logic is narrow node removal/replacement for those two fields, so there is no evidence of multiple separable responsibilities or a class that needs further decomposition.</t>
  </si>
  <si>
    <t>Inspected `byte-buddy-dep/src/main/java/net/bytebuddy/matcher/LatentMatcher.java` lines 231-257 and `byte-buddy-dep/src/main/java/net/bytebuddy/dynamic/DynamicType.java` lines 7141-7147. `ForRecordComponentToken` is a tiny adapter with only one field (`token`), one constructor, and one `resolve` method</t>
  </si>
  <si>
    <t>Inspected `byte-buddy-dep/src/main/java/net/bytebuddy/dynamic/DynamicType.java` and `byte-buddy-dep/src/test/java/net/bytebuddy/dynamic/DynamicTypeDefaultUnloadedTest.java`. `DynamicType.Unloaded` is a small nested interface with only 4 methods (`load` overloads and `include` overloads at lines 7266-7315), all focused on loading an unloaded dynamic type and adding auxiliary types</t>
  </si>
  <si>
    <t>Inspected byte-buddy-dep/src/main/java/net/bytebuddy/implementation/auxiliary/TypeProxy.java (lines 194-335). `SilentConstruction` is a small nested enum with a single singleton instance, two trivial methods (`prepare` returns the input unchanged</t>
  </si>
  <si>
    <t>Inspected `core/src/main/java/com/google/googlejavaformat/java/JavacTokens.java`. `AccessibleScanner` is only a 2-line nested shim (lines 213-218) with a single protected constructor and no fields or additional methods</t>
  </si>
  <si>
    <t>Inspected `javaparser-core/src/main/java/com/github/javaparser/ast/body/ConstructorDeclaration.java` (315 lines, 24 public constructors/methods) plus its bases `javaparser-core/src/main/java/com/github/javaparser/ast/body/CallableDeclaration.java` and `javaparser-core/src/main/java/com/github/javaparser/ast/body/BodyDeclaration.java`. `ConstructorDeclaration` adds only one extra field (`body`) and mostly contains constructors, accessors, and generated overrides (`accept`, `clone`, `replace`, type-casting, `resolve`)</t>
  </si>
  <si>
    <t>Inspected src/main/java/org/apache/commons/lang3/concurrent/EventCountCircuitBreaker.java (lines 183-234). CheckIntervalData is a private static nested value holder with only 2 fields (eventCount, checkIntervalStart), 1 constructor, 2 getters, and 1 simple increment method. Its responsibility is narrowly focused on storing interval state for the outer class, with no evidence of multiple unrelated responsibilities or excessive size, so insufficient modularization is not indicated.</t>
  </si>
  <si>
    <t>Inspected byte-buddy-dep/src/main/java/net/bytebuddy/description/annotation/AnnotationValue.java. The target is a nested helper interface (lines 1186-1605) with only four operations: copy, hashCode, equals, and toString. Its implementation is split into two focused enums, ForNonArrayType and ForArrayType, which only specialize scalar vs array constant annotation values</t>
  </si>
  <si>
    <t>Inspected byte-buddy-dep/src/main/java/net/bytebuddy/utility/GraalImageCode.java and byte-buddy-dep/src/test/java/net/bytebuddy/utility/GraalImageCodeTest.java. ImageCodeContextAction is a protected nested enum with only one constant (INSTANCE) and one method (run()), spanning about 20 lines</t>
  </si>
  <si>
    <t>Inspected byte-buddy-dep/src/main/java/net/bytebuddy/asm/MemberSubstitution.java. The relevant factory type is a very small nested interface: `Substitution.Factory` at lines 1249-1260 has exactly one abstract method (`make`) and no state, while the related `Replacement.Factory` at lines 7557-7598 is likewise a one-method interface with only a small `Compound` helper. I found no evidence of many methods, multiple responsibilities, or low cohesion in this factory unit, so insufficient modularization is not present.</t>
  </si>
  <si>
    <t>Inspected `byte-buddy-dep/src/main/java/net/bytebuddy/pool/TypePool.java` around lines 5202-5284. `LazyTypeVariable` is a small nested helper with 6 fields, 1 constructor, and only 4 overridden accessors (`getUpperBounds`, `getTypeVariableSource`, `getSymbol`, `getDeclaredAnnotations`)</t>
  </si>
  <si>
    <t>Inspected `byte-buddy-dep/src/main/java/net/bytebuddy/build/AccessControllerPlugin.java` (lines 235-350) and `byte-buddy-dep/src/test/java/net/bytebuddy/build/AccessControllerPluginTest.java`. `WithProperty` is a very small nested helper: 1 field (`property`), 1 constructor, and 1 overridden method (`onAccessController`) that only emits bytecode to read a system property and parse it as a boolean. The enclosing `Initializer` already separates the alternate concern into `WithoutProperty`, so this class is narrowly focused and does not show the size, method count, or multi-responsibility indicators of insufficient modularization.</t>
  </si>
  <si>
    <t>Inspected byte-buddy-dep/src/main/java/net/bytebuddy/pool/TypePool.java. FieldTokenList is a small protected inner adapter at lines 3528-3542 with only two methods, get(int) and size(), both delegating directly to the backing fieldTokens list to produce FieldDescription instances. The surrounding code shows it is one of several parallel helper lists (FieldTokenList/MethodTokenList/RecordComponentTokenList) used by LazyTypeDescription, not a multifaceted class with many responsibilities, so there is no evidence of insufficient modularization.</t>
  </si>
  <si>
    <t>Inspected src/main/java/org/apache/commons/lang3/mutable/Mutable.java, src/main/java/org/apache/commons/lang3/mutable/package-info.java, and src/main/java/org/apache/commons/lang3/mutable/MutableObject.java. Mutable is a tiny interface, not a large class: 66 lines total, only 3 members (`get()` default, `getValue()`, `setValue(T)`), and the Javadoc explicitly describes it as a generic interface for the packageâ€™s mutable wrappers. The structure shows a single cohesive contract rather than insufficient modularization.</t>
  </si>
  <si>
    <t>Inspected `byte-buddy-gradle-plugin/src/main/java/net/bytebuddy/build/gradle/ByteBuddySimpleTaskExtension.java`, `AbstractByteBuddyTaskExtension.java`, and `ByteBuddySimpleTask.java`. The target class is only 89 LOC and contains one field plus seven short methods (constructor, getter/setter, and four overrides), all focused on a single concern: wiring a discovery set into `ByteBuddySimpleTask`. The broader configuration responsibilities live in `AbstractByteBuddyTaskExtension`, so this class is a thin specialization rather than an under-decomposed multi-responsibility class.</t>
  </si>
  <si>
    <t>Inspected `byte-buddy-dep/src/main/java/net/bytebuddy/build/Plugin.java` around lines 2883-2944. `CompoundIterator` is a small nested helper with only one responsibility: concatenating multiple iterables. It has just 4 methods (`constructor`, `hasNext`, `next`, `remove`) plus one private helper `forward`, and only 2 fields (`current`, `backlog`)</t>
  </si>
  <si>
    <t>Inspected byte-buddy-dep/src/main/java/net/bytebuddy/description/TypeVariableSource.java, byte-buddy-dep/src/main/java/net/bytebuddy/description/method/MethodDescription.java, and byte-buddy-dep/src/main/java/net/bytebuddy/description/type/TypeDescription.java. The target base class is very small: it defines only two concrete operations (`findVariable`, `findExpectedVariable`) plus one abstract hook (`toSafeString`), and both concrete methods focus on one concern only, recursive type-variable lookup and error reporting. The source-specific behavior is implemented in the two subclasses, which override the remaining responsibilities (`getEnclosingSource`, `accept`, `isGenerified`, and `toSafeString`), so there is no evidence of a bloated or poorly decomposed class.</t>
  </si>
  <si>
    <t>`core/src/main/java/org/adoptopenjdk/jitwatch/model/assembly/AssemblyInstruction.java` is 306 lines with 8 fields and 14 public entry points (constructor, 9 accessors/mutators/queries, and 3 `toString` variants). The class combines several responsibilities: storing parsed instruction state, accumulating and exposing multi-line comments, detecting safepoint/optimized-virtual-call markers from comment text, and rendering the instruction in two formatting modes (plain and label-based) via `AssemblyLabels`/`StringUtil`. That mix of state, comment analysis, and presentation logic indicates insufficient modularization.</t>
  </si>
  <si>
    <t>Inspected `javaparser-core-testing/src/test/resources/com/github/javaparser/issue_samples/issue_2627/Ops_lf.java`, which is 7,632 lines long and declares `public final class Ops` with 328 public methods. The class also exposes 16 public subgroup fields (`nn`, `summary`, `image`, `data`, `io`, `dtypes`, `linalg`, `random`, `strings`, `sparse`, `bitwise`, `math`, `audio`, `signal`, `train`, `quantization`) and many additional forwarding builders plus scope wrappers (`withSubScope`, `withName`, `withControlDependencies`). This breadth and size show a monolithic faÃ§ade with multiple separable responsibilities, so insufficient modularization is present.</t>
  </si>
  <si>
    <t>In `byte-buddy-dep/src/main/java/net/bytebuddy/build/AccessControllerPlugin.java:355-372`, `WithoutProperty` is a tiny nested subclass of `Initializer` with no fields, one constructor, and one overridden method (`onAccessController`) that only emits `ICONST_1` and returns `1`. Its behavior is a single, isolated strategy for the no-property branch of the enclosing plugin, not a class with multiple responsibilities or separable concerns. `byte-buddy-dep/src/test/java/net/bytebuddy/build/AccessControllerPluginTest.java` exercises this branch via `new AccessControllerPlugin()` and confirms the intended single purpose.</t>
  </si>
  <si>
    <t>Inspected byte-buddy-agent/src/main/java/net/bytebuddy/agent/ByteBuddyAgent.java:889-930 and byte-buddy-agent/src/test/java/net/bytebuddy/agent/ByteBuddyAgentAttachmentProviderTest.java:15-23. ExternalAttachment is a small nested value holder with only 2 fields, 1 constructor, and 2 getters, and the tests exercise it only as a simple DTO for virtual-machine type and classpath</t>
  </si>
  <si>
    <t>Insufficient modularization is present: `byte-buddy-dep/src/main/java/net/bytebuddy/dynamic/scaffold/TypeWriter.java` defines `Default` starting at line 1795 and it runs to the end of the 6,795-line file. The class contains four static factory methods (`forCreation`, `forRedefinition`, `forRebasing`, `forDecoration`), the main `make` workflow plus abstract `create`, and many distinct nested subsystems (`UnresolvedType`, `SignatureKey`, `ValidatingClassVisitor`, `Constraint` with multiple enum implementations, and later `InitializationHandler`/`FrameWriter`/`Dispatcher` helpers). I counted 309 member declarations at and below the `Default` declaration, which indicates a large, multi-responsibility class that could be split into smaller abstractions.</t>
  </si>
  <si>
    <t>Inspected `byte-buddy-dep/src/main/java/net/bytebuddy/implementation/auxiliary/TypeProxy.java` and `byte-buddy-dep/src/test/java/net/bytebuddy/implementation/auxiliary/TypeProxyCreationTest.java`. `AccessorMethodInvocation` is a very small nested class (lines 667-711) with only two fields, one constructor, and two methods (`isValid`, `apply`), and it implements one cohesive task: registering an accessor and emitting a single bytecode compound. The surrounding `MethodCall`/`Appender` nesting already separates the broader proxy-building responsibilities, so there is no concrete evidence of insufficient modularization.</t>
  </si>
  <si>
    <t>Inspected `android/src/com/google/zxing/client/android/encode/MECARDContactEncoder.java` (lines 79-84) and `android/src/com/google/zxing/client/android/encode/ContactEncoder.java` (lines 99-102). `MECARDTelDisplayFormatter` is a private static nested helper with one constant and one method</t>
  </si>
  <si>
    <t>Inspected `src/main/java/org/apache/commons/lang3/text/StrBuilder.java` (lines 177-205 and 1534-1535). `StrBuilderTokenizer` is a tiny nested adapter with no fields, one empty constructor, and only two overridden methods: `getContent()` and `tokenize(...)`. Its behavior is narrowly scoped to delegating to `StrTokenizer` while binding to the enclosing `StrBuilder`, so there is no evidence of excessive size, multiple responsibilities, or a need to split it into smaller abstractions.</t>
  </si>
  <si>
    <t>`javaparser-symbol-solver-core/src/main/java/com/github/javaparser/symbolsolver/resolution/typeinference/BoundSet.java` is a very large class (891 lines) with many methods: basic set operations (`withBound`, `isEmpty`, `containsFalse`, `getProperUpperBoundsFor`) plus two large algorithmic responsibilities, `deriveImpliedBounds` (lines 219-490) and `performResolution` (lines 620-826), each containing substantial nested logic and private helpers. This indicates one class is handling both bound storage and multiple complex inference phases, which is a strong sign of insufficient modularization. `TypeInference.java` also uses `BoundSet` across several steps (`withBound`, `deriveImpliedBounds`, `performResolution`), reinforcing that the class centralizes broad type-inference behavior rather than a single cohesive abstraction.</t>
  </si>
  <si>
    <t>Inspected byte-buddy-dep/src/main/java/net/bytebuddy/pool/TypePool.java (around lines 6990-7340). The target is not a small single-purpose class: the abstract LazyAnnotationValue base only delegates 7 operations (getState, filter, resolve, load, hashCode, equals, toString), and the same block also contains 5 nested concrete/helper classes (ForMismatchedType, ForTypeValue, ForAnnotationValue, ForEnumerationValue, ForArray) that implement separate resolution paths for type, annotation, enum, and array annotation values. That concentration of multiple distinct responsibilities in one nested class cluster indicates insufficient modularization.</t>
  </si>
  <si>
    <t>Inspected `javaparser-core/src/main/java/com/github/javaparser/metamodel/StringLiteralExprMetaModel.java`, `LiteralStringValueExprMetaModel.java`, and `JavaParserMetaModel.java`. `StringLiteralExprMetaModel` is a generated leaf wrapper with no fields and only one package-private constructor that delegates directly to `LiteralStringValueExprMetaModel`</t>
  </si>
  <si>
    <t>Inspected `src/main/java/org/jsoup/safety/Cleaner.java` (220 LOC) and `src/test/java/org/jsoup/safety/CleanerTest.java`. `Cleaner` is narrowly focused on one responsibility: cleaning/validating HTML against a `Safelist`. It has one field, one constructor, and only 3 public operations (`clean`, `isValid`, `isValidBodyHtml`), with the rest being a single inner visitor plus two private helpers that support the same sanitization workflow. The tests exercise only these related behaviors, and policy details are delegated to `Safelist`, so the class looks cohesive rather than insufficiently modularized.</t>
  </si>
  <si>
    <t>Inspected byte-buddy-dep/src/main/java/net/bytebuddy/implementation/bytecode/member/FieldAccess.java:261-273 and byte-buddy-dep/src/test/java/net/bytebuddy/implementation/bytecode/member/FieldAccessTest.java. FieldGetInstruction is a tiny nested class with only two overridden methods (`getOpcode()` and `resolveSize()`), no fields, no branching, and it inherits the shared field-instruction logic from `AbstractFieldInstruction.apply()`. The surrounding test covers only the getter behavior</t>
  </si>
  <si>
    <t>Inspected `javaparser-symbol-solver-testing/src/test/resources/issue1526/compiles/a/b/c/ExampleClass.java` and `.../errors/a/b/c/ExampleClass.java`. Both copies define a very small class with one field, one constructor, and one public method (`getDataObject`)</t>
  </si>
  <si>
    <t xml:space="preserve">`byte-buddy-dep/src/main/java/net/bytebuddy/description/type/TypeVariableToken.java` is a small, cohesive token class: 3 fields and 10 small public members, all focused on one responsibility (representing/detaching a type variable and exposing its symbol, bounds, annotations, visitor transformation, and value semantics). The companion test `byte-buddy-dep/src/test/java/net/bytebuddy/description/type/TypeVariableTokenTest.java` only covers these same behaviors (`getSymbol`, `getBounds`, `getAnnotations`, `accept`), with no sign of separate concerns or bloated structure. </t>
  </si>
  <si>
    <t>Inspected `byte-buddy-dep/src/main/java/net/bytebuddy/pool/TypePool.java` (roughly lines 7528-7870). `TokenizedGenericType` is a cohesive lazy-projection helper for one concern: converting `GenericTypeToken` and descriptor data into `Generic`/`TypeDescription` views. The block contains 4 small nested helper classes (`TokenList`, `TypeVariableList`, `Malformed`, `Malformed.TokenList`) and 21 total methods/constructors, but they are narrowly focused and mostly delegate to token-to-type resolution rather than implementing separate responsibilities, so I did not find evidence of insufficient modularization.</t>
  </si>
  <si>
    <t>Inspected `byte-buddy-agent/src/main/java/net/bytebuddy/agent/ByteBuddyAgent.java` (lines 1235-1278). `Compound` is a small nested helper with one field, two constructors, and one `attempt()` method</t>
  </si>
  <si>
    <t>Inspected byte-buddy-dep/src/main/java/net/bytebuddy/dynamic/ClassFileLocator.java (lines 1953-2015) and byte-buddy-dep/src/test/java/net/bytebuddy/dynamic/ClassFileLocatorForInstrumentationTest.java. The target nested class is a focused helper with 4 fields, 1 constructor, 1 transformer method, and 1 accessor</t>
  </si>
  <si>
    <t>Inspected `javaparser-core/src/main/java/com/github/javaparser/metamodel/MethodReferenceExprMetaModel.java` (57 LOC): it is a generated class with one package-private constructor and only four public `PropertyMetaModel` fields, with no additional methods or mixed responsibilities. The related AST node in `javaparser-core/src/main/java/com/github/javaparser/ast/expr/MethodReferenceExpr.java` exposes a similarly small set of properties, so this class is a thin metamodel descriptor rather than an insufficiently modular, multi-responsibility class.</t>
  </si>
  <si>
    <t>Inspected byte-buddy-dep/src/main/java/net/bytebuddy/implementation/bytecode/constant/SerializedConstant.java and byte-buddy-dep/src/test/java/net/bytebuddy/implementation/bytecode/constant/SerializedConstantTest.java. The class is only 107 lines, has one field and two operations (`of(...)` and `apply(...)`), and both are tightly focused on a single responsibility: serialize a `Serializable` value and emit bytecode to deserialize it. The test covers only null handling and serialization behavior. I did not find multiple cohesive responsibilities, a large method set, or enough structural complexity to indicate insufficient modularization.</t>
  </si>
  <si>
    <t>Inspected byte-buddy-agent/src/main/java/net/bytebuddy/agent/VirtualMachine.java:2026-2103, 2108-2561, and 2561-2705 plus byte-buddy-agent/src/test/java/net/bytebuddy/agent/VirtualMachineForOpenJ9Test.java. Dispatcher is a small 8-method interface for OpenJ9 native operations, and the file already decomposes the work into separate POSIX and Windows implementations (ForJnaPosixEnvironment and ForJnaWindowsEnvironment) with platform-specific helpers, so the responsibilities are split rather than concentrated in one under-modularized class.</t>
  </si>
  <si>
    <t>Inspected src/main/java/org/apache/commons/lang3/exception/ContextedRuntimeException.java, src/main/java/org/apache/commons/lang3/exception/DefaultExceptionContext.java, and src/main/java/org/apache/commons/lang3/exception/ExceptionContext.java. ContextedRuntimeException is a focused wrapper: 254 lines total, one state field (exceptionContext), 5 constructors, and only context/message methods that delegate to DefaultExceptionContext or super.getMessage()</t>
  </si>
  <si>
    <t>Inspected `core/src/main/java/com/google/zxing/datamatrix/encoder/HighLevelEncoder.java` and `core/src/main/java/com/google/zxing/datamatrix/DataMatrixWriter.java`. `HighLevelEncoder` is 484 lines with 16 methods, and it bundles multiple responsibilities in one class: 3 public `encodeHighLevel` overloads that set up encoders, handle macro headers, unlatching, and padding (lines 127-219), a large look-ahead/mode-selection implementation in `lookAheadTest`/`lookAheadTestIntern` (222-395), and separate helper utilities for character classification, minimum tracking, digit counting, and error formatting (398-482). `DataMatrixWriter` calls this class directly as the main encoding entry point, reinforcing that it is a broad orchestration class that could be split into smaller, more cohesive units.</t>
  </si>
  <si>
    <t>Inspected gson/src/main/java/com/google/gson/LongSerializationPolicy.java and gson/src/test/java/com/google/gson/LongSerializationPolicyTest.java. The class is a very small enum with only 2 constants (DEFAULT, STRING) and 1 abstract method</t>
  </si>
  <si>
    <t>Inspected src/main/java/org/apache/commons/io/file/CountingPathVisitor.java and src/main/java/org/apache/commons/io/file/AccumulatorPathVisitor.java. The target nested Builder at lines 129-141 has no fields, only a constructor and get(), and all configuration state/setters live in CountingPathVisitor.AbstractBuilder at lines 49-121. This is a thin wrapper around object construction, not a large or multi-responsibility class, so there is no evidence of insufficient modularization.</t>
  </si>
  <si>
    <t>Inspected byte-buddy-dep/src/main/java/net/bytebuddy/description/field/FieldDescription.java lines 638-705 and byte-buddy-dep/src/test/java/net/bytebuddy/description/field/FieldDescriptionSignatureTokenTest.java lines 13-28. SignatureToken is a small nested value object with only 2 fields, 1 constructor, 2 getters, and standard equals/hashCode/toString behavior</t>
  </si>
  <si>
    <t>Inspected `byte-buddy-dep/src/main/java/net/bytebuddy/asm/MemberSubstitution.java` around lines 710-746. `ForMatchedByteCodeElement` is a very small nested wrapper with one private field (`matcher`), one constructor, and one behavior method (`replaceWith`)</t>
  </si>
  <si>
    <t>Inspected `javaparser-core/src/main/java/com/github/javaparser/printer/XmlPrinter.java` and `javaparser-core-testing/src/test/java/com/github/javaparser/printer/XmlPrinterTest.java`. `XmlPrinter` is ~244 LOC and is centered on one concern: XML serialization of AST nodes. Its public API is mostly thin overloads/wrappers (`output`, deprecated `output(Node,String,int,StringBuilder)`, `stringWriterOutput`, `outputDocument` for `Writer`/`XMLStreamWriter`, `outputNode`, `print`) around a single recursive serializer (`outputNode`), plus one local runtime-exception wrapper</t>
  </si>
  <si>
    <t>Inspected [JavadocCommentMetaModel.java](/data/henrique/detecting_smells_study/codex/data/repositories/javaparser/javaparser/javaparser-core/src/main/java/com/github/javaparser/metamodel/JavadocCommentMetaModel.java) and [CommentMetaModel.java](/data/henrique/detecting_smells_study/codex/data/repositories/javaparser/javaparser/javaparser-core/src/main/java/com/github/javaparser/metamodel/CommentMetaModel.java). The target class is a generated wrapper with only 2 constructors (lines 40-60), no fields, and no behavior beyond delegating to its superclass</t>
  </si>
  <si>
    <t>Inspected core/src/main/java/com/google/zxing/common/ECIEncoderSet.java, core/src/main/java/com/google/zxing/common/MinimalECIInput.java, and core/src/main/java/com/google/zxing/qrcode/encoder/MinimalEncoder.java. ECIEncoderSet is a compact final helper (199 lines) with only two fields and one constructor plus 7 small public methods, all centered on one cohesive responsibility: selecting allowed CharsetEncoders for an input string and exposing charset/ECI lookup and encode/canEncode operations. The callers use it only for that purpose, and I did not find distinct responsibility clusters or low-cohesion behavior that would indicate insufficient modularization.</t>
  </si>
  <si>
    <t>Inspected [jimfs/src/main/java/com/google/common/jimfs/UserLookupService.java](jimfs/src/main/java/com/google/common/jimfs/UserLookupService.java#L63) and [jimfs/src/test/java/com/google/common/jimfs/UserLookupServiceTest.java](jimfs/src/test/java/com/google/common/jimfs/UserLookupServiceTest.java#L37). `NamedPrincipal` is a private nested helper with one field (`name`) and four simple methods (`getName`, `hashCode`, `toString`, constructor), and it is only shared by two sibling nested principals in the same file. I found no evidence of multiple responsibilities, large method count, or low cohesion that would indicate insufficient modularization.</t>
  </si>
  <si>
    <t>Inspected `core/src/main/java/com/google/zxing/pdf417/decoder/DetectionResultColumn.java` (95 lines): it has only 2 fields and 6 small package-private helpers plus `toString()`, all centered on one concern, storing/accessing `Codeword`s by image-row offset. `core/src/main/java/com/google/zxing/pdf417/decoder/DetectionResultRowIndicatorColumn.java` extends it with the specialized row-indicator logic, and `core/src/main/java/com/google/zxing/pdf417/decoder/PDF417ScanningDecoder.java` uses it as a simple column container/accessor. The class is small and cohesive, so I found no evidence of insufficient modularization.</t>
  </si>
  <si>
    <t>Inspected `byte-buddy-dep/src/main/java/net/bytebuddy/implementation/attribute/AnnotationAppender.java` and `byte-buddy-dep/src/test/java/net/bytebuddy/implementation/attribute/AnnotationAppenderTargetTest.java`. `OnField` is a tiny adapter: one private `FieldVisitor` field, one constructor, and exactly two `visit(...)` methods, both of which directly delegate to `fieldVisitor.visitAnnotation(...)` or `fieldVisitor.visitTypeAnnotation(...)`. The test file only verifies those two delegations. This shows a single cohesive responsibility, with no evidence of excessive size or multiple separable concerns.</t>
  </si>
  <si>
    <t>Inspected core/src/main/java/com/google/zxing/common/reedsolomon/ReedSolomonEncoder.java and core/src/test/java/com/google/zxing/common/reedsolomon/ReedSolomonTestCase.java. The encoder is only 74 lines long and has 2 fields, 1 constructor, 1 private helper (buildGenerator), and 1 public operation (encode)</t>
  </si>
  <si>
    <t>Inspected `byte-buddy-dep/src/main/java/net/bytebuddy/dynamic/TypeResolutionStrategy.java` (267 lines) and `byte-buddy-dep/src/test/java/net/bytebuddy/dynamic/TypeResolutionStrategyTest.java`. The target is a small strategy family: one top-level interface with one method (`resolve()`), one nested `Resolved` interface, and four focused implementations (`Passive`, `Active`, `Lazy`, `Disabled`) whose methods each cover a single concern (`injectedInto`/`initialize`). The tests exercise each variant separately, which supports cohesive, separated responsibilities rather than an under-decomposed class.</t>
  </si>
  <si>
    <t>Inspected `core/src/main/java/com/google/zxing/oned/rss/expanded/decoders/FieldParser.java` and `core/src/test/java/com/google/zxing/oned/rss/expanded/decoders/FieldParserTest.java`. `DataLength` is a private nested helper with only 2 final fields (`variable`, `length`) and 2 factory methods (`fixed(int)`, `variable(int)`), plus a private constructor</t>
  </si>
  <si>
    <t>`byte-buddy-dep/src/main/java/net/bytebuddy/description/method/MethodDescription.java` lines 1375-1641 show `Latent` with 9 state fields, 2 constructors, and many accessors/attachment methods for type variables, return type, parameters, exceptions, annotations, name, declaring type, modifiers, default value, and receiver type</t>
  </si>
  <si>
    <t>Inspected byte-buddy-dep/src/main/java/net/bytebuddy/implementation/bytecode/constant/MethodConstant.java (lines 198-227) and byte-buddy-dep/src/test/java/net/bytebuddy/implementation/bytecode/constant/MethodConstantTest.java. CanCacheIllegal is a singleton enum with only one state and three trivial overrides: cached() delegates to Illegal.INSTANCE, isValid() always returns false, and apply() delegates to Illegal.INSTANCE. This is a narrow, cohesive error-case helper, not a class with many methods or separable responsibilities, so insufficient modularization is not present.</t>
  </si>
  <si>
    <t>Inspected byte-buddy-dep/src/main/java/net/bytebuddy/implementation/Implementation.java:324-393 and found Implementation.Target.Factory is a single-method nested interface (`make(...)`) with one responsibility: create an Implementation.Target. The concrete implementations in byte-buddy-dep/src/main/java/net/bytebuddy/dynamic/scaffold/subclass/SubclassImplementationTarget.java:143-170 and byte-buddy-dep/src/main/java/net/bytebuddy/dynamic/scaffold/inline/RebaseImplementationTarget.java:241-261 each just implement that one factory method, so this unit is a small SPI, not an overly large or multi-responsibility class.</t>
  </si>
  <si>
    <t>Inspected `byte-buddy-dep/src/main/java/net/bytebuddy/description/method/MethodDescription.java` (TypeToken at lines 2211-2280) and `byte-buddy-dep/src/test/java/net/bytebuddy/description/method/MethodDescriptionTypeTokenTest.java` (lines 25-30). TypeToken is a small value object with only 2 fields, 1 constructor, 2 accessors, and standard `hashCode`/`equals`/`toString`</t>
  </si>
  <si>
    <t>Inspected src/main/java/org/jsoup/helper/RequestDispatch.java and src/main/java/org/jsoup/helper/HttpConnection.java. RequestDispatch is a very small package-private shim (49 lines) with one static field, one static initializer, and a single factory method get(...)</t>
  </si>
  <si>
    <t>Inspected `javaparser-core/src/main/java/com/github/javaparser/ast/visitor/HashCodeVisitor.java` (746 lines, 103 `visit` overloads, plus only a singleton and `hashCode(Node)` entrypoint), `javaparser-core-generators/src/main/java/com/github/javaparser/generator/core/visitor/HashCodeVisitorGenerator.java`, and `javaparser-core/src/main/java/com/github/javaparser/ast/visitor/NoCommentHashCodeVisitor.java`. The class is large but highly cohesive: every method performs the same hash-code accumulation role for a different AST node type, and the generator/meta-model code shows this breadth is intentional and mechanically produced rather than evidence of multiple unrelated responsibilities or obvious separable abstractions.</t>
  </si>
  <si>
    <t>Inspected `javaparser-core/src/main/java/com/github/javaparser/ast/Node.java` at lines 1076-1095 and found `DirectChildrenIterator` is a tiny helper with one field, one constructor, and only two methods (`hasNext`, `next`). It simply wraps `node.getChildNodes().iterator()` and delegates iteration, with no sign of multiple responsibilities, large size, or separable abstractions. The only other reference in the same file is its use at line 884, which is consistent with a narrow traversal utility rather than an insufficiently modular class.</t>
  </si>
  <si>
    <t>Inspected `javaparser-core/src/main/java/com/github/javaparser/javadoc/JavadocBlockTag.java` and `javaparser-core/src/main/java/com/github/javaparser/javadoc/description/JavadocInlineTag.java`. `JavadocBlockTag.Type` is a compact enum with 13 constants and only 3 small members (`Type()`, `hasName()`, `fromName()`), all focused on tag-name mapping/lookup. It has no large method set, no wide API surface, and no evidence of multiple unrelated responsibilities or low cohesion, so the class is not insufficiently modularized.</t>
  </si>
  <si>
    <t>Inspected [ui/src/main/java/org/adoptopenjdk/jitwatch/ui/report/ReportStageType.java](/data/henrique/detecting_smells_study/codex/data/repositories/adoptopenjdk/jitwatch/ui/src/main/java/org/adoptopenjdk/jitwatch/ui/report/ReportStageType.java) and [ui/src/main/java/org/adoptopenjdk/jitwatch/ui/report/ReportStage.java](/data/henrique/detecting_smells_study/codex/data/repositories/adoptopenjdk/jitwatch/ui/src/main/java/org/adoptopenjdk/jitwatch/ui/report/ReportStage.java). The target is a 4-constant enum with no fields or methods, used only as a type tag for four report modes</t>
  </si>
  <si>
    <t>Inspected `byte-buddy-dep/src/main/java/net/bytebuddy/description/type/TypeDescription.java` (lines 6810-6842). `ForLoadedReturnType` is a narrow nested adapter with 1 field (`Method method`) and only 3 behavior methods (`resolve`, `asErasure`, `getAnnotationReader`), each delegating to existing helpers (`Sort.describeOrNull`, `ForLoadedType.of`, `AnnotationReader.Delegator.ForLoadedMethodReturnType`). The companion test file `byte-buddy-dep/src/test/java/net/bytebuddy/description/type/TypeDescriptionForLoadedTypeTest.java` exercises it through normal return-type resolution. This looks cohesive and too small/single-purpose to indicate insufficient modularization.</t>
  </si>
  <si>
    <t>In `javaparser-core/src/main/java/com/github/javaparser/resolution/logic/MethodResolutionLogic.java`, the class is 1324 LOC and declares 31 methods, with many public entry points (`isApplicable`, `isAssignableMatchTypeParameters`, `replaceTypeParam`, two `findMostApplicable` overloads, `findMostApplicableUsage`, `solveMethodInType`, `inferTypes`, and parameter-type helpers). The implementation à¤•à¥‡à¤‚à¤¦izes several distinct responsibilities in one class: applicability checks for declarations and MethodUsage, varargs grouping, lambda/functional-interface conflict checks, generic/wildcard/type-parameter substitution, overload specificity selection, and type inference. That breadth and method count show the class could be split into smaller, more cohesive abstractions.</t>
  </si>
  <si>
    <t>Inspected src/main/java/org/apache/commons/io/output/NullWriter.java and src/test/java/org/apache/commons/io/output/NullWriterTest.java. NullWriter is a 180-line class with no instance state, one constructor, and 8 overriding methods plus 2 singleton fields</t>
  </si>
  <si>
    <t>`javaparser-symbol-solver-core/src/main/java/com/github/javaparser/symbolsolver/javassistmodel/JavassistMethodDeclaration.java` is only 147 lines and consists of a constructor plus a small set of method-metadata accessors. Most behavior is delegated to `JavassistMethodLikeDeclarationAdapter`, `JavassistFactory`, or `MethodDeclarationCommonLogic`</t>
  </si>
  <si>
    <t>Inspected `byte-buddy-dep/src/main/java/net/bytebuddy/dynamic/loading/ClassLoadingStrategy.java` (nested class at lines 292-426). `WrappingDispatcher` is a compact strategy helper with 7 state fields, 2 constructors, and 6 small methods</t>
  </si>
  <si>
    <t>Inspected [NMethodInfo.java](ui/src/main/java/org/adoptopenjdk/jitwatch/ui/nmethod/NMethodInfo.java) and [AbstractNMethodStage.java](ui/src/main/java/org/adoptopenjdk/jitwatch/ui/nmethod/AbstractNMethodStage.java). NMethodInfo is 259 lines with 12 methods total, only 2 public (`setInfo`, `clear`), and the private methods are small helpers for one cohesive purpose: building a two-column JavaFX info panel, adding prev/next compilation controls, and populating/clearing labels. The class does not show multiple unrelated responsibilities or dense logic that would indicate insufficient modularization.</t>
  </si>
  <si>
    <t>Inspected core/src/main/java/com/google/zxing/qrcode/decoder/ErrorCorrectionLevel.java and core/src/test/java/com/google/zxing/qrcode/decoder/ErrorCorrectionLevelTestCase.java. The class is a compact enum of 4 constants with only 2 small methods (`getBits()` and `forBits()`), about 60 lines total, and it serves a single mapping responsibility for QR error-correction levels. The test file covers just that mapping and invalid-bit handling, which supports a narrow, cohesive design rather than insufficient modularization.</t>
  </si>
  <si>
    <t>Inspected `byte-buddy-dep/src/main/java/net/bytebuddy/dynamic/scaffold/MethodGraph.java` and the dedicated tests `byte-buddy-dep/src/test/java/net/bytebuddy/dynamic/scaffold/MethodGraphNodeSimpleTest.java`, `MethodGraphNodeUnresolvedTest.java`, and `MethodGraphNodeListTest.java`. `Node` is a small interface with only 4 abstract methods (`getSort`, `getRepresentative`, `getMethodTypes`, `getVisibility`) plus a compact nested `Sort` enum and two tiny nested implementations (`Unresolved`, `Simple`) with trivial behavior. The tests are split by concern and exercise these small roles separately, which does not show excessive size, many methods, or low cohesion for the class itself.</t>
  </si>
  <si>
    <t>Insufficient modularization is present. In `javaparser-symbol-solver-core/src/main/java/com/github/javaparser/symbolsolver/javaparsermodel/declarations/JavaParserClassDeclaration.java` the class is 506 lines long and defines 30+ methods, spanning several concerns in one type: object identity (`equals/hashCode/toString`), field aggregation (`getAllFields`), method solving (`solveMethod`, `solveMethodAsUsage`), type/name queries (`getName`, `getPackageName`, `getClassName`, `getQualifiedName`), hierarchy/ancestor logic (`getSuperClass`, `getInterfaces`, `getAncestors`, `toReferenceType`), assignability checks (`isAssignableBy`, `canBeAssignedTo`), annotation/member access, and AST bridging (`getWrappedNode`, `toAst`). `javaparser-symbol-solver-core/src/main/java/com/github/javaparser/symbolsolver/javaparsermodel/declarations/JavaParserTypeAdapter.java` shows some delegation, but the class still contains substantial resolver logic and duplication-like glue, indicating it could be split into smaller, more cohesive abstractions.</t>
  </si>
  <si>
    <t>Inspected src/main/java/org/apache/commons/lang3/Strings.java and src/test/java/org/apache/commons/lang3/StringsTest.java. CiStrings is a private static final nested strategy class with one constructor and 6 overridden methods (compare, contains, two equals overloads, indexOf, lastIndexOf), all narrowly focused on case-insensitive comparison/search behavior. The test class exercises only those cohesive behaviors</t>
  </si>
  <si>
    <t>Inspected byte-buddy-gradle-plugin/android-plugin/src/main/java/net/bytebuddy/build/gradle/android/ByteBuddyAndroidPlugin.java. The nested class at lines 440-447 is only 8 lines long, has no fields or constructors, and defines exactly one method (`execute`) whose sole responsibility is adding `ByteBuddyDependencyRule` to an `AttributeMatchingStrategy`. That narrow, single-purpose structure does not show insufficient modularization.</t>
  </si>
  <si>
    <t>Inspected [core/src/main/java/com/google/zxing/EncodeHintType.java](/data/henrique/detecting_smells_study/codex/data/repositories/zxing/zxing/core/src/main/java/com/google/zxing/EncodeHintType.java) and [core/src/main/java/com/google/zxing/qrcode/encoder/Encoder.java](/data/henrique/detecting_smells_study/codex/data/repositories/zxing/zxing/core/src/main/java/com/google/zxing/qrcode/encoder/Encoder.java) plus writer usages via `rg`. `EncodeHintType` is a flat enum with 19 constants and no methods or internal behavior</t>
  </si>
  <si>
    <t>Inspected `byte-buddy-dep/src/main/java/net/bytebuddy/asm/MemberRemoval.java` lines 154-213. The nested `MemberRemovingClassVisitor` is a small private visitor with only one constructor plus two override methods (`visitField`, `visitMethod`), and both methods do the same narrow job: look up a member in a map and either suppress or delegate the ASM call. The class has a single responsibility and no evidence of excess methods, mixed concerns, or separable sub-abstractions, so insufficient modularization is not present.</t>
  </si>
  <si>
    <t>Inspected src/main/java/org/jsoup/helper/CookieUtil.java, src/test/java/org/jsoup/helper/CookieUtilTest.java, src/main/java/org/jsoup/helper/HttpConnection.java, src/main/java/org/jsoup/helper/UrlConnectionExecutor.java, and src/main/java11/org/jsoup/helper/HttpClientExecutor.java. CookieUtil is a small 120-line package-private helper with 5 methods (4 static helpers plus 1 private helper) and no instance state</t>
  </si>
  <si>
    <t>Inspected `byte-buddy-dep/src/main/java/net/bytebuddy/dynamic/scaffold/TypeWriter.java` at lines 4896-5033 and the factory logic at lines 4541-4573. `WithDrain` is a small nested helper: one constructor, three concrete overrides (`onStart`, `visitEnd`, `onComplete`), one abstract hook (`onAfterComplete`), two label fields, and only two specialized subclasses (`WithoutActiveRecord`, `WithActiveRecord`) that split a single record-related variation. This shows a focused, cohesive abstraction rather than a class that is excessively large or carrying multiple responsibilities.</t>
  </si>
  <si>
    <t>Inspected javaparser-symbol-solver-core/src/main/java/com/github/javaparser/symbolsolver/javaparsermodel/contexts/ArrayAccessExprContext.java, ExpressionContext.java, and AbstractJavaParserContext.java. The target class is only 96 lines and exposes just 2 public members: a constructor and solveSymbolInParentContext(String), and that override only delegates to super. The substantive resolution logic is implemented in the superclass chain, so ArrayAccessExprContext is a thin, single-purpose specialization rather than a class with insufficient modularization.</t>
  </si>
  <si>
    <t>Inspected `byte-buddy-dep/src/main/java/net/bytebuddy/utility/dispatcher/JavaDispatcher.java` at lines 262-269 and 527-561. `ForInstanceCheck` is a tiny nested `Dispatcher` implementation with one field (`target`) and only two behavior methods: `invoke` performs `target.isInstance(argument[0])`, and `apply` emits a single `INSTANCEOF`/`IRETURN` bytecode sequence. It is used only for `@Instance`-annotated methods, so it has a single cohesive responsibility and does not show insufficient modularization.</t>
  </si>
  <si>
    <t>Inspected `/data/henrique/detecting_smells_study/codex/data/repositories/javaparser/javaparser/javaparser-core/src/main/java/com/github/javaparser/ast/type/PrimitiveType.java` (269 lines) plus `/data/henrique/detecting_smells_study/codex/data/repositories/javaparser/javaparser/javaparser-core/src/main/java/com/github/javaparser/ast/type/Type.java`, `/data/henrique/detecting_smells_study/codex/data/repositories/javaparser/javaparser/javaparser-core/src/main/java/com/github/javaparser/ast/type/VoidType.java`, and `/data/henrique/detecting_smells_study/codex/data/repositories/javaparser/javaparser/javaparser-core/src/main/java/com/github/javaparser/ast/type/ArrayType.java`. PrimitiveType has one real state field (`type`) and the rest is cohesive AST-node boilerplate (constructors, visitor/clone/meta-model/type-casting methods) plus a small nested `Primitive` enum that centralizes boxing, descriptor, and name lookup</t>
  </si>
  <si>
    <t>Inspected `byte-buddy-dep/src/main/java/net/bytebuddy/utility/AsmClassWriter.java` (nested class at lines 382-429). `Suppressing` is a tiny adapter with one field (`delegate`), one constructor, and only four `make(...)` methods</t>
  </si>
  <si>
    <t>Inspected src/main/java/org/apache/commons/lang3/mutable/MutableFloat.java and compared it with src/main/java/org/apache/commons/lang3/mutable/MutableDouble.java and src/main/java/org/apache/commons/lang3/mutable/MutableInt.java. MutableFloat is a single-state wrapper with one field (`value`) and a cohesive set of 31 public methods on the same concern: constructors, add/subtract/increment/decrement, getters/setters, Number conversions, equality/hashCode, and `isNaN`/`isInfinite`. The 416-line file is similar in structure and size to the sibling mutable numeric wrappers, with no clear split into separate responsibilities or low-cohesion clusters, so insufficient modularization is not evidenced.</t>
  </si>
  <si>
    <t>Inspected `byte-buddy-dep/src/main/java/net/bytebuddy/utility/privilege/GetSystemPropertyAction.java` and `byte-buddy-dep/src/test/java/net/bytebuddy/utility/privilege/GetSystemPropertyActionTest.java`. The class is only 48 lines long and contains one field (`key`), one constructor, and one `run()` method that ÕºÕ¡Ö€Õ¦Õ¡ÕºÕ¥Õ½ returns `System.getProperty(key)`. The test covers only this single behavior. There is no evidence of multiple responsibilities, large size, many public methods, or separable concerns, so insufficient modularization is not present.</t>
  </si>
  <si>
    <t>Inspected `byte-buddy-agent/src/main/java/net/bytebuddy/agent/ByteBuddyAgent.java` and `byte-buddy-agent/src/test/java/net/bytebuddy/agent/ByteBuddyAgentAgentProviderTest.java`. `AgentProvider` is only a nested interface with a single method `resolve()`, and it has just two small implementations: `ForByteBuddyAgent` and `ForExistingAgent`. The implementations are role-specific (create/locate an agent jar vs return an existing file), so the unit is already narrowly scoped and does not show the excessive size, method count, or mixed responsibilities expected for insufficient modularization.</t>
  </si>
  <si>
    <t>`byte-buddy-dep/src/main/java/net/bytebuddy/build/Plugin.java` defines `Source` from lines 2256-3429 as a 1,100+ line nested hierarchy with many separate responsibilities: `Origin`, `Element`, `Empty`, `Compound`, `InMemory`, `ForFolder`, `ForJarFile`, `Filtering`, plus nested iterator/matcher helpers. It mixes jar, folder, in-memory, compound aggregation, filtering, manifest handling, and element wrapper logic in one unit, which indicates low cohesion and insufficient modularization. The corresponding tests in `byte-buddy-dep/src/test/java/net/bytebuddy/build/PluginEngineSource*.java` exercise these concerns separately, reinforcing that the class bundles several decomposable abstractions.</t>
  </si>
  <si>
    <t>Inspected `byte-buddy-dep/src/main/java/net/bytebuddy/utility/StreamDrainer.java` and `byte-buddy-dep/src/test/java/net/bytebuddy/utility/StreamDrainerTest.java`. The class is a small, single-purpose utility: 1 public operation (`drain(InputStream)`), 2 constructors, and a few constants, all centered on one responsibility of copying an `InputStream` into a `byte[]` (about 101 lines total). The dedicated test covers that one behavior, and other references in `ClassFileLocator`/`Plugin` are only consumers. I did not find evidence of multiple distinct responsibilities or excessive modular breakdown needs.</t>
  </si>
  <si>
    <t>Inspected `javaparser-symbol-solver-testing/src/test/resources/javassist_symbols/main_jar/src/com/github/javaparser/javasymbolsolver/javassist_symbols/main_jar/InterfaceUserOwnJar.java`, which contains only a class declaration implementing `InterfaceOwnJar` and one `public static final` field, with no methods or additional responsibilities. Also checked `javaparser-symbol-solver-testing/src/test/resources/javassist_symbols/main_jar/src/com/github/javaparser/javasymbolsolver/javassist_symbols/main_jar/InterfaceOwnJar.java` and `javaparser-symbol-solver-testing/src/test/java/com/github/javaparser/symbolsolver/resolution/SymbolSolverWithJavassistClassTest.java`</t>
  </si>
  <si>
    <t>Inspected byte-buddy-maven-plugin/src/main/java/net/bytebuddy/build/maven/Initialization.java, CoordinateConfiguration.java, ByteBuddyMojo.java, and InitializationTest.java. Initialization is a small 82-line configuration class with only 2 fields, 1 constructor, and 1 behavior method (`getEntryPoint`)</t>
  </si>
  <si>
    <t>Inspected `byte-buddy-dep/src/main/java/net/bytebuddy/implementation/attribute/AnnotationValueFilter.java` and `byte-buddy-dep/src/test/java/net/bytebuddy/implementation/attribute/AnnotationValueFilterDefaultTest.java`. The target type is a small, cohesive strategy interface: one behavior method (`isRelevant`), one nested `Factory` with four overloads, and one nested `Default` enum with only two constants (`SKIP_DEFAULTS`, `APPEND_DEFAULTS`) plus four trivial `on(...)` methods that all return `this`. The test file covers only these two behaviors and the factory passthroughs, with no evidence of multiple unrelated responsibilities or excessive method/abstraction sprawl.</t>
  </si>
  <si>
    <t>Inspected `javaparser-symbol-solver-testing/src/test/resources/CompilationUnitContextResolutionTest/03_symbol/main/Clazz.java` and `javaparser-symbol-solver-testing/src/test/java/com/github/javaparser/symbolsolver/resolution/CompilationUnitContextResolutionTest.java`. `MyEnum` is a tiny nested enum with only two constants (`A`, `B`) and no methods or fields, so there is no evidence of excessive size, multiple responsibilities, or low cohesion</t>
  </si>
  <si>
    <t>Inspected byte-buddy-dep/src/main/java/net/bytebuddy/asm/MemberSubstitution.java. The target is a 180-line protected enum (lines 5737-5916) with 10 enum constants and only 2 abstract methods, isRepresentable(...) and resolve(...). It is used only by ForOrigin to map @Origin parameter types to stack manipulations (lines 5704-5978), which is a single, cohesive responsibility rather than an under-decomposed class with multiple concerns.</t>
  </si>
  <si>
    <t>Inspected `byte-buddy-dep/src/main/java/net/bytebuddy/implementation/Implementation.java` (lines 579-790) and call sites in `TypeWriter.java`, `ClassVisitorFactory.java`, and `AccessControllerPlugin.java`. `FrameGeneration` is a small 3-constant enum (`GENERATE`, `EXPAND`, `DISABLED`) with methods only for stack-map frame emission (`isActive`, `same`, `same1`, `append`, `chop`, `full`, and `generate`) plus two private conversion helpers. The usages I found are all limited to ASM frame writing, so the class is cohesive and does not show clear insufficient modularization.</t>
  </si>
  <si>
    <t>Inspected javaparser-core/src/main/java/com/github/javaparser/printer/lexicalpreservation/ReshuffledDiffElementExtractor.java. MatchClassification is a private nested enum defined on lines 32-48 with only 5 constants, one int field, a constructor, and one getter</t>
  </si>
  <si>
    <t>Inspected `byte-buddy-dep/src/main/java/net/bytebuddy/build/HashCodeAndEqualsPlugin.java` and `byte-buddy-dep/src/test/java/net/bytebuddy/build/HashCodeAndEqualsPluginTest.java`. The nested `ValueHandling.Sort` type at lines 428-451 is only a two-value enum (`IGNORE`, `REVERSE_NULLABILITY`) with no fields or methods, and it is used only as an annotation value consumed by `ValueMatcher`/tests, so it is a small classification type rather than a class with multiple responsibilities or clear decomposition potential.</t>
  </si>
  <si>
    <t>Inspected ui/src/main/java/org/adoptopenjdk/jitwatch/ui/Dialogs.java. The target nested class `Dialog` is only 26 lines long (lines 48-74), has a single constructor plus one helper method `showDialog()`, and only encapsulates common JavaFX `Stage` setup (`setTitle`, modality/style/owner, `setScene`) and `showAndWait()`. There is no evidence of excessive size, many methods, or multiple responsibilities in this class, so insufficient modularization is not present for the target unit.</t>
  </si>
  <si>
    <t>Inspected [src/main/java/org/apache/commons/lang3/exception/CloneFailedException.java](/data/henrique/detecting_smells_study/codex/data/repositories/apache/commons-lang/src/main/java/org/apache/commons/lang3/exception/CloneFailedException.java) and [src/test/java/org/apache/commons/lang3/exception/CloneFailedExceptionTest.java](/data/henrique/detecting_smells_study/codex/data/repositories/apache/commons-lang/src/test/java/org/apache/commons/lang3/exception/CloneFailedExceptionTest.java), plus the call site in [src/main/java/org/apache/commons/lang3/ObjectUtils.java](/data/henrique/detecting_smells_study/codex/data/repositories/apache/commons-lang/src/main/java/org/apache/commons/lang3/ObjectUtils.java). The class is only 31 lines of code with one field (`serialVersionUID`) and exactly 3 constructors, all delegating directly to `RuntimeException`</t>
  </si>
  <si>
    <t>Inspected `javaparser-core/src/main/java/com/github/javaparser/metamodel/TypeParameterMetaModel.java`, `TypeMetaModel.java`, `NodeMetaModel.java`, and `JavaParserMetaModel.java`. `TypeParameterMetaModel` is only 53 lines, contains one package-private constructor and two public `PropertyMetaModel` fields, and has no methods or logic beyond generated metadata wiring</t>
  </si>
  <si>
    <t>Inspected `core/src/main/java/com/google/zxing/datamatrix/decoder/DataBlock.java` and its caller `core/src/main/java/com/google/zxing/datamatrix/decoder/Decoder.java` (with `Version.java` for context). `DataBlock` is package-private and compact: 118 lines, 2 fields, 1 private constructor, 1 static factory/deinterleaving method, and 2 simple getters. The class serves a single purpose as a block holder plus de-interleaving helper, and I found no evidence of multiple unrelated responsibilities, many public methods, or low cohesion.</t>
  </si>
  <si>
    <t>Inspected byte-buddy-dep/src/main/java/net/bytebuddy/description/modifier/Ownership.java and byte-buddy-dep/src/test/java/net/bytebuddy/description/modifier/OwnershipTest.java. Ownership is a compact enum with only 2 constants (MEMBER, STATIC), 1 field, and 4 simple methods (getMask, getRange, isDefault, isStatic) over 79 lines</t>
  </si>
  <si>
    <t>Inspected byte-buddy-dep/src/main/java/net/bytebuddy/description/method/MethodDescription.java:395-436, where ForLoadedExecutable has only one field (`executable`), one constructor, one small helper (`doPrivileged`), and one override (`getReceiverType`)</t>
  </si>
  <si>
    <t>Inspected byte-buddy-dep/src/main/java/net/bytebuddy/utility/dispatcher/JavaDispatcher.java. The target is a tiny nested enum at lines 1430-1452 with a single singleton constant (`INSTANCE`) and one method (`run()`), whose only job is to create a `Resolver` or fall back to `NoOp.INSTANCE`. There is no indication of many methods, multiple responsibilities, or low cohesion in this unit.</t>
  </si>
  <si>
    <t>`core/src/main/java/org/adoptopenjdk/jitwatch/parser/ParserFactory.java` is only 32 lines and has one public method plus a private constructor</t>
  </si>
  <si>
    <t>Inspected `src/main/java/org/apache/commons/io/output/ProxyOutputStream.java` (287 lines). The class is a focused `OutputStream` proxy: 2 constructors, a nested `Builder`, 2 hook methods (`beforeWrite`, `afterWrite`), delegate operations (`close`, `flush`, 3 `write` overloads), 3 thin `writeRepeat` overloads, and small helper methods (`handleIOException`, `setReference`, `unwrap`). These members all serve one cohesive responsibility: delegating to and decorating a single underlying stream. `src/test/java/org/apache/commons/io/output/ProxyOutputStreamTest.java` confirms the same proxy-oriented behavior, and related subclasses (`CountingOutputStream.java`, `CloseShieldOutputStream.java`, `TaggedOutputStream.java`, `TeeOutputStream.java`) each extend it for one specific concern rather than indicating the base class itself is poorly decomposed.</t>
  </si>
  <si>
    <t>`core/src/main/java/org/adoptopenjdk/jitwatch/util/StringUtil.java` is a catch-all utility with 28 public static methods and clearly mixed responsibilities: timestamp formatting, XML entity replacement, padding/alignment, text/list conversion, substring and package/class-name extraction, attribute string parsing/serialization, thousands formatting, word wrapping, and key sorting. The corresponding `core/src/test/java/org/adoptopenjdk/jitwatch/test/TestStringUtil.java` covers only a subset of these behaviors, reinforcing that the class bundles several separable concerns rather than a cohesive abstraction.</t>
  </si>
  <si>
    <t>Inspected `javaparser-core/src/main/java/com/github/javaparser/Range.java` and `javaparser-core-testing/src/test/java/com/github/javaparser/RangeTest.java`. `Range` is a compact immutable value type with only two fields (`begin`, `end`) and a single cohesive responsibility: source-span handling via construction, copying (`withBegin*`/`withEnd*`), containment/overlap/order checks, equality/hash/toString, and `getLineCount()`. The test file exercises this same narrow concern set extensively, and I found no separate state or unrelated behavior that would indicate insufficient modularization.</t>
  </si>
  <si>
    <t>Inspected core/src/main/java/com/google/googlejavaformat/java/Main.java (283 LOC, 8 methods, 4 public entrypoints). The class is mostly a CLI orchestrator: argument parsing/validation is delegated to CommandLineOptionsParser.java, per-file formatting is delegated to FormatFileCallable.java, and Tool integration is handled by GoogleJavaFormatTool.java. Mainâ€™s methods cluster around one workflow (main/format/formatFiles/formatStdin/processArgs), so there is not strong evidence of insufficient modularization.</t>
  </si>
  <si>
    <t>Inspected byte-buddy-dep/src/main/java/net/bytebuddy/dynamic/loading/PackageDefinitionStrategy.java (777 lines) plus byte-buddy-dep/src/test/java/net/bytebuddy/dynamic/loading/PackageDefinitionStrategyTypeSimpleTest.java and PackageDefinitionStrategyTypeTrivialTest.java. The top-level interface has only one API method (`define`), and the fileâ€™s behavior is already split into focused nested types: `NoOp` and `Trivial` strategies, `Definition` with `Undefined`, `Trivial`, and `Simple`, and `ManifestReading` with `SealBaseLocator` variants. Each nested type has a narrow responsibility and few methods, so the class is a grouped API container rather than an insufficiently modular monolith.</t>
  </si>
  <si>
    <t>Inspected [src/main/java/org/apache/commons/io/monitor/FileAlterationListener.java](/data/henrique/detecting_smells_study/codex/data/repositories/apache/commons-io/src/main/java/org/apache/commons/io/monitor/FileAlterationListener.java), which is a small interface with 8 event-callback methods and no fields or implementation logic. All methods are cohesive filesystem-monitoring callbacks (create/change/delete for files and directories, plus start/stop), and [src/main/java/org/apache/commons/io/monitor/FileAlterationListenerAdaptor.java](/data/henrique/detecting_smells_study/codex/data/repositories/apache/commons-io/src/main/java/org/apache/commons/io/monitor/FileAlterationListenerAdaptor.java) shows the expected one-method-per-event adapter, confirming this is an intentionally narrow listener contract rather than a class needing decomposition.</t>
  </si>
  <si>
    <t>Inspected `javaparser-core/src/main/java/com/github/javaparser/ast/validator/postprocessors/Java17PostProcessor.java` and `javaparser-core/src/main/java/com/github/javaparser/ast/validator/postprocessors/Java16PostProcessor.java`. `Java17PostProcessor` is only a one-line subclass (`public class Java17PostProcessor extends Java16PostProcessor {}`) with no fields or methods of its own, so it does not show the size, method count, or multi-responsibility structure expected for insufficient modularization.</t>
  </si>
  <si>
    <t>Inspected src/main/java/org/apache/commons/io/output/FileWriterWithEncoding.java:84-156 and src/main/java/org/apache/commons/io/build/AbstractStreamBuilder.java:47-120. The nested Builder is very small: it keeps only two fields (`append`, `charsetEncoder`) and exposes only a trivial constructor, two setters, and two tiny helper methods plus `get()`. Its logic is cohesive around assembling file/encoding/append inputs, while the real writer setup and cleanup live in the outer classâ€™s `initWriter(...)` method and shared builder behavior comes from `AbstractStreamBuilder`. There is no evidence of excessive size or multiple separable responsibilities.</t>
  </si>
  <si>
    <t>Inspected src/main/java/org/apache/commons/lang3/time/FastDateParser.java (NumberStrategy at lines 245-325 and its uses at lines 655-713). NumberStrategy is a private nested helper with one field (`field`) and a single cohesive responsibility: parsing numeric calendar fields. It has only four small methods/overrides (`isNumber`, `modify`, `parse`, `toString`), and the field-specific variants are just anonymous subclasses overriding `modify` for minor adjustments, not separate responsibilities. No evidence of excessive size, many public methods, or low cohesion.</t>
  </si>
  <si>
    <t>Inspected src/main/java/org/apache/commons/lang3/time/FastDateFormat.java (636 LOC, 43 method declarations) plus the collaborator classes src/main/java/org/apache/commons/lang3/time/FastDatePrinter.java and src/main/java/org/apache/commons/lang3/time/FastDateParser.java. FastDateFormat is mostly a thin facade: its formatting methods delegate to printer, its parsing methods delegate to parser, and the class mainly provides factory/cache access and value-object methods (equals/hashCode/toString). The substantive formatting/parsing logic is split into the two sibling classes, so this class does not show clear insufficient modularization.</t>
  </si>
  <si>
    <t>Inspected `javaparser-core/src/main/java/com/github/javaparser/ast/validator/language_level_validations/Java16Validator.java` (45 lines): it has one constructor and no other methods, and that constructor only adjusts four inherited validators for Java 16 features (`remove(noPatternMatchingInstanceOf)`, `remove(noRecordDeclaration)`, `remove(innerClasses)`, `add(recordAsTypeIdentifierNotAllowed)`, `add(recordDeclarationValidator)`). `Java15Validator.java` and `Java14Validator.java` show the same incremental inheritance pattern, so this class is a thin version-specific adapter, not an insufficiently modularized multi-responsibility class.</t>
  </si>
  <si>
    <t>Inspected core/src/main/java/com/google/zxing/client/result/AddressBookDoCoMoResultParser.java, core/src/main/java/com/google/zxing/client/result/AbstractDoCoMoResultParser.java, and core/src/main/java/com/google/zxing/client/result/AddressBookParsedResult.java. The target class is only 92 lines with 2 methods total (1 public parse method and 1 private helper), and its logic is a single MECARD parsing routine that delegates field matching to AbstractDoCoMoResultParser and object creation to AddressBookParsedResult. I found no evidence of excessive size, many public methods, or multiple distinct responsibilities that would indicate insufficient modularization.</t>
  </si>
  <si>
    <t>Inspected `core/src/main/java/com/google/zxing/common/BitMatrix.java` (537 lines, 29 public methods) and `core/src/test/java/com/google/zxing/common/BitMatrixTestCase.java`. Although the class is broad, its methods are cohesive around one abstraction and one backing state (`width`, `height`, `rowSize`, `bits`): bit access/mutation, row copy, rotation, rectangle/bit queries, parsing, and string rendering. I did not find clearly separate responsibilities or a low-cohesion split that would justify insufficient modularization.</t>
  </si>
  <si>
    <t>Inspected `byte-buddy-dep/src/main/java/net/bytebuddy/asm/MemberSubstitution.java` (lines 9032-9268). `Source` is a compact nested enum with only two variants (`SUBSTITUTED_ELEMENT`, `ENCLOSING_METHOD`) plus a small `Value` holder, and its overridden methods (`self`, `argument`, `arguments`, `handle`, `isRepresentable`, `resolve`) all serve one cohesive concern: resolving origin/parameter values for those two contexts. I found no extra fields, no unrelated responsibilities, and no strong evidence that this enum should be split further.</t>
  </si>
  <si>
    <t>Inspected [javaparser-core/src/main/java/com/github/javaparser/utils/Log.java](./javaparser-core/src/main/java/com/github/javaparser/utils/Log.java) and [javaparser-core-testing/src/test/java/com/github/javaparser/utils/LogTest.java](./javaparser-core-testing/src/test/java/com/github/javaparser/utils/LogTest.java). The target inner class is a small adapter with only three interface methods (`info`, `trace`, `error`) plus one private helper (`printStackTrace`), no fields, and a single responsibility of routing log output to stdout/stderr</t>
  </si>
  <si>
    <t>Inspected gson/src/main/java/com/google/gson/internal/TroubleshootingGuide.java and found a 10-line utility class with a private constructor and exactly one public static method, createUrl(String). Repo usages in TypeToken, JsonReader, TypeAdapters, ReflectiveTypeAdapterFactory, ConstructorConstructor, and ReflectionHelper all call that same helper, indicating a single cohesive responsibility rather than a class that should be split into smaller abstractions.</t>
  </si>
  <si>
    <t>Inspected byte-buddy-dep/src/main/java/net/bytebuddy/pool/TypePool.java. The target is a small nested interface at lines 4570-4598 with only two responsibilities, `resolveSuperClass` and `resolveInterfaceTypes`, and a single concrete implementation `ForType.Tokenized` at lines 4603-4668. Its third related operation, `resolveTypeVariables`, is already separated into the sibling `Resolution` interface and is implemented by other nested variants (`Raw`, `Malformed`). The surrounding code also splits field/method/record-component handling into separate nested interfaces (`ForField`, `ForMethod`, `ForRecordComponent`), so `ForType` looks like a focused abstraction rather than an insufficiently modular class.</t>
  </si>
  <si>
    <t>Inspected core/src/main/java/org/adoptopenjdk/jitwatch/process/compiler/CompilerJava.java, core/src/main/java/org/adoptopenjdk/jitwatch/process/AbstractProcess.java, and sibling compilers CompilerGroovy.java / CompilerJavaScript.java. CompilerJava is only 75 lines with one field, one constructor, and one public compile method</t>
  </si>
  <si>
    <t>Inspected `javaparser-symbol-solver-testing/src/test/resources/differentiate_dot_expressions/InnerClassDotExpressions.java` and `javaparser-symbol-solver-testing/src/test/java/com/github/javaparser/symbolsolver/javaparsermodel/DifferentiateDotExpressionTest.java`. The relevant nested class structure in `InnerClassDotExpressions.java` is very small: `InnerClassContainer.InnerClass` has only one method (`methodCall()`), one nested class chain, and no sign of many public methods, large size, or multiple responsibilities. This is not enough evidence of Insufficient Modularization.</t>
  </si>
  <si>
    <t>Inspected [javase/src/main/java/com/google/zxing/client/j2se/MatrixToImageConfig.java](/data/henrique/detecting_smells_study/codex/data/repositories/zxing/zxing/javase/src/main/java/com/google/zxing/client/j2se/MatrixToImageConfig.java), [javase/src/main/java/com/google/zxing/client/j2se/MatrixToImageWriter.java](/data/henrique/detecting_smells_study/codex/data/repositories/zxing/zxing/javase/src/main/java/com/google/zxing/client/j2se/MatrixToImageWriter.java), and [javase/src/test/java/com/google/zxing/client/j2se/MatrixToImageWriterTestCase.java](/data/henrique/detecting_smells_study/codex/data/repositories/zxing/zxing/javase/src/test/java/com/google/zxing/client/j2se/MatrixToImageWriterTestCase.java). The target class is very small: 2 constants, 2 final fields, 2 constructors, 2 getters, 1 package-private color-model helper, and 1 private transparency helper. Its responsibility is cohesive and narrow: store on/off pixel colors and choose the `BufferedImage` type used by `MatrixToImageWriter`</t>
  </si>
  <si>
    <t>Inspected byte-buddy-dep/src/main/java/net/bytebuddy/description/type/PackageDescription.java (183 lines): it is a small interface with only two behavior methods (`contains`, `isDefault`), one shared abstract base, and two concrete nested implementations (`Simple`, `ForLoadedPackage`) that all model the same package concept. The tests in byte-buddy-dep/src/test/java/net/bytebuddy/description/type/PackageDescriptionSimpleTest.java and byte-buddy-dep/src/test/java/net/bytebuddy/description/type/AbstractPackageDescriptionTest.java cover only package-name, annotations, default-package, and containment behavior. The file reads as a cohesive package abstraction rather than an insufficiently modularized class.</t>
  </si>
  <si>
    <t>Inspected `byte-buddy-agent/src/main/java/net/bytebuddy/agent/VirtualMachine.java` lines 2843-2870. `SecurityAttributes` is a nested JNA `Structure` data holder with only 3 public fields (`length`, `securityDescriptor`, `inherit`) and 1 overridden method (`getFieldOrder()`)</t>
  </si>
  <si>
    <t>Inspected `byte-buddy-dep/src/main/java/net/bytebuddy/dynamic/scaffold/TypeWriter.java` (lines 1640-1697) and `byte-buddy-dep/src/test/java/net/bytebuddy/dynamic/scaffold/TypeWriterRecordComponentPoolRecordTest.java` (lines 111-137). The class is a small nested helper with 1 field and 5 methods, all centered on one responsibility: representing an implicit record component, delegating to `RecordComponentAttributeAppender.ForInstrumentedRecordComponent`, and throwing on partial application. Its behavior is also mirrored by the sibling `ForExplicitRecordComponent` and used as a simple fallback from `RecordComponentRegistry` (`RecordComponentRegistry.java` lines 83-85 and 237-243), which supports a focused adapter role rather than insufficient modularization.</t>
  </si>
  <si>
    <t>Inspected `byte-buddy-gradle-plugin/src/main/java-gradle-api/org/gradle/api/file/DirectoryProperty.java` (55 lines). It is a tiny interface with only 4 declared methods (`getAsFile`, `getAsFileTree`, `dir`, `set`) and no fields or implementation logic</t>
  </si>
  <si>
    <t>In `jimfs/src/main/java/com/google/common/jimfs/JimfsFileStore.java` the class is a 265-line FileStore faÃ§ade with a small constructor plus mostly one-line delegating methods</t>
  </si>
  <si>
    <t>Inspected `src/main/java/org/apache/commons/io/DirectoryWalker.java` (lines 257-314) and `src/test/java/org/apache/commons/io/DirectoryWalkerTest.java` (lines 313-339). `CancelException` is a small nested exception type with only 2 fields (`file`, `depth`), 2 constructors, and 2 accessors</t>
  </si>
  <si>
    <t>Inspected [gson/src/main/java/com/google/gson/TypeAdapterFactory.java](/data/henrique/detecting_smells_study/codex/data/repositories/google/gson/gson/src/main/java/com/google/gson/TypeAdapterFactory.java): it is a public interface with a single abstract method (`create(Gson, TypeToken)`), no fields, and no implementation logic. The file is 170 lines, but the bulk is Javadoc examples</t>
  </si>
  <si>
    <t>Inspected android/src/com/google/zxing/client/android/HttpHelper.java:48-57 and found `ContentType` is only a nested enum with 4 values (HTML, JSON, XML, TEXT) and no behavior of its own. The surrounding class handles the HTTP/redirect logic in separate methods (e.g. downloadViaHttp at lines 68-95), so `ContentType` is just a small type tag, not an overgrown or low-cohesion class. Call sites in android/src/com/google/zxing/client/android/result/supplement/TitleRetriever.java:46-55, BookResultInfoRetriever.java:52-56, and ProductResultInfoRetriever.java:58-64 use it only to select the request MIME type.</t>
  </si>
  <si>
    <t>Inspected byte-buddy-benchmark/src/main/java/net/bytebuddy/benchmark/ClassByImplementationBenchmark.java, byte-buddy-benchmark/src/test/java/net/bytebuddy/benchmark/ClassByImplementationBenchmarkTest.java, and byte-buddy-benchmark/pom.xml. The repository does not contain the generated jmhTest source itself, and the underlying benchmark method is a single cohesive Javassist-proxy creation routine verified by one focused test</t>
  </si>
  <si>
    <t>Inspected core/src/main/java/org/adoptopenjdk/jitwatch/parser/zing/ZingLine.java and core/src/main/java/org/adoptopenjdk/jitwatch/parser/zing/ZingLogParser.java. ZingLine is 264 lines with 30 public methods, but they are mostly accessors plus a small set of closely related helpers for one domain concept: a parsed Zing compilation line. Its extra behavior is cohesive (signature parsing and three tag/task export methods), and ZingLogParser delegates those conversions to it rather than splitting unrelated responsibilities across the class, so I found no strong evidence of insufficient modularization.</t>
  </si>
  <si>
    <t>Inspected `src/main/java/org/apache/commons/io/ByteOrderParser.java` and `src/test/java/org/apache/commons/io/ByteOrderParserTest.java`. The class is only 66 lines, has one public API method (`parseByteOrder`) plus a private constructor, and implements a single cohesive responsibility: converting two `ByteOrder` string constants into enum values or throwing `IllegalArgumentException`. The test class covers only those three behaviors, which supports that this class is small and not insufficiently modularized.</t>
  </si>
  <si>
    <t>Inspected `byte-buddy-dep/src/main/java/net/bytebuddy/NamingStrategy.java` and `byte-buddy-dep/src/test/java/net/bytebuddy/NamingStrategyTest.java`. `PrefixingRandom` is a very small single-purpose inner class: it has only 2 fields (`prefix`, `randomString`), 1 constructor, and 1 overridden `name(TypeDescription)` method that just concatenates the prefix, superclass name, and a random token. The other naming operations are inherited unchanged from `AbstractBase`, and the tests cover only this single naming behavior. No evidence of multiple responsibilities or a need to split the class.</t>
  </si>
  <si>
    <t>Inspected byte-buddy-dep/src/main/java/net/bytebuddy/dynamic/scaffold/TypeWriter.java (lines 1484-1574) and its call site in the same file (lines 1326-1350). `BridgeTarget` is a small nested helper with 2 fields, 1 constructor, and 9 mostly direct delegation/accessor methods, with one narrow responsibility: adapting a bridge method into its defined shape for `AccessBridgeWrapper.apply`. The class is cohesive and compact, so there is no concrete evidence of insufficient modularization.</t>
  </si>
  <si>
    <t>Inspected byte-buddy-dep/src/main/java/net/bytebuddy/build/AccessControllerPlugin.java (lines 236-373), with context from LoadedTypeInitializer.java and TypeInitializer.java. `Initializer` is a compact abstract template-method helper: 2 fields, 1 constructor, 1 concrete `apply` method, 1 abstract hook, and 2 tiny subclasses (`WithProperty` and `WithoutProperty`) that each implement a single variation. It serves one cohesive purpose, generating initializer bytecode for AccessController availability, so there is no strong evidence of insufficient modularization.</t>
  </si>
  <si>
    <t>`src/main/java/org/jsoup/nodes/Entities.java` is a 425-line utility class with 8 public static APIs and many helpers</t>
  </si>
  <si>
    <t>Inspected `byte-buddy-dep/src/main/java/net/bytebuddy/implementation/LoadedTypeInitializer.java` (lines 186-248) and `byte-buddy-dep/src/test/java/net/bytebuddy/implementation/LoadedTypeInitializerCompoundTest.java` (lines 18-65). `Compound` is a very small composite wrapper with one field, 2 constructors, and only 2 behaviors (`onLoad`, `isAlive`)</t>
  </si>
  <si>
    <t>Inspected byte-buddy-dep/src/main/java/net/bytebuddy/implementation/bind/MethodDelegationBinder.java (lines 105-164) and byte-buddy-dep/src/main/java/net/bytebuddy/implementation/MethodDelegation.java (lines 763-872). MethodInvoker is a narrow strategy interface with only one operation, and it has just two tiny implementations: Simple (singleton, delegates to MethodInvocation.invoke) and Virtual (one TypeDescription field, one invoke method). I found no evidence of multiple responsibilities, many public methods, or separable cohesive clusters within this unit.</t>
  </si>
  <si>
    <t>Inspected javaparser-core-serialization/src/main/java/com/github/javaparser/serialization/JavaParserJsonSerializer.java, javaparser-core-serialization/src/test/java/com/github/javaparser/serialization/JavaParserJsonSerializerTest.java, and javaparser-core-serialization/src/main/java/com/github/javaparser/serialization/JavaParserJsonDeserializer.java. The serializer is 201 lines and exposes one public API plus a private recursive helper and four small protected helpers, all centered on one concern: turning AST nodes into JSON. The nested enums only hold JSON key constants, and the test shows a single end-to-end serialization path. I did not find strong evidence of multiple separable responsibilities or excessive method/size complexity for this class.</t>
  </si>
  <si>
    <t>Inspected `byte-buddy-dep/src/main/java/net/bytebuddy/pool/TypePool.java` (lines 6821-6968). `LazyAnnotationDescription` is a compact nested helper with one constructor, two static list-conversion helpers (`asListOfNullable`, `asList`), and three instance methods (`getValue`, `getAnnotationType`, `prepare`), plus two small nested support classes (`Loadable`, `UnresolvedAnnotationList`). Its scope is tightly centered on lazy annotation resolution/loading, with no evidence of multiple unrelated responsibilities, excessive method count, or low cohesion.</t>
  </si>
  <si>
    <t>Inspected `byte-buddy-dep/src/main/java/net/bytebuddy/matcher/FieldTypeMatcher.java`, `byte-buddy-dep/src/main/java/net/bytebuddy/matcher/ElementMatchers.java`, and `byte-buddy-dep/src/test/java/net/bytebuddy/matcher/FieldTypeMatcherTest.java`. The class is only 55 lines and has a single responsibility: one private field, one constructor, one `doMatch` method that delegates to `target.getType()`, and one `toString()`. `ElementMatchers.genericFieldType(...)` just instantiates it, and the test covers only the single matching behavior. This is a small, cohesive adapter, not a class with multiple separable responsibilities.</t>
  </si>
  <si>
    <t>Inspected src/main/java/org/jsoup/select/Evaluator.java and src/test/java/org/jsoup/select/EvaluatorTest.java. `IsNthLastOfType` is a tiny inner class (lines 680-704) with only a constructor and 2 overridden methods (`calculatePosition` and `getPseudoClass`)</t>
  </si>
  <si>
    <t>`src/main/java/org/apache/commons/lang3/Validate.java` is a 1280-line utility class with 51 `public static` methods and no instance state, and it mixes several separable responsibilities in one type: range checks (`exclusiveBetween`, `inclusiveBetween`), type checks (`isAssignableFrom`, `isInstanceOf`), boolean/state checks (`isTrue`, `validState`), regex checks (`matchesPattern`), null/emptiness/blank checks (`notNull`, `notEmpty`, `notBlank`, `noNullElements`), and index validation (`validIndex`). `src/test/java/org/apache/commons/lang3/ValidateTest.java` is also very large (1645 lines), reflecting the broad API surface. This indicates insufficient modularization.</t>
  </si>
  <si>
    <t>Inspected byte-buddy-benchmark/src/main/java/net/bytebuddy/benchmark/ClassByExtensionBenchmark.java:594-608 and byte-buddy-benchmark/src/test/java/net/bytebuddy/benchmark/ClassByExtensionBenchmarkByteBuddyInterceptorTest.java:10-34. ByteBuddyPrefixInterceptor is only a tiny nested helper with a private constructor and one public static no-op intercept() method, no fields, no branching, and no additional responsibilities</t>
  </si>
  <si>
    <t>Inspected [TextElementIteratorsFactory.java](javaparser-core/src/main/java/com/github/javaparser/printer/lexicalpreservation/TextElementIteratorsFactory.java) and [LexicalPreservingPrinter.java](javaparser-core/src/main/java/com/github/javaparser/printer/lexicalpreservation/LexicalPreservingPrinter.java). EmptyIterator is a tiny nested utility with no fields and only two methods: `hasNext()` always returns false and `next()` always throws, and it is only used as the empty return path in `tokensPreceeding(...)`. There is no evidence of multiple responsibilities, large size, or low cohesion in this class.</t>
  </si>
  <si>
    <t>Inspected `javaparser-symbol-solver-core/src/main/java/com/github/javaparser/symbolsolver/resolution/typeinference/Instantiation.java`, plus its call sites in `bounds/SameAsBound.java`, `Bound.java`, and `BoundSet.java`. The class is only 68 lines with 2 fields and 4 simple methods besides the constructor (`getInferenceVariable`, `getProperType`, `equals`, `hashCode`, `toString`), and it functions as a single-purpose data holder for pairing an inference variable with a proper type. There is no evidence of multiple responsibilities, large method count, or low cohesion in this class.</t>
  </si>
  <si>
    <t>Inspected android/src/com/google/zxing/client/android/history/HistoryItemAdapter.java, plus the related android/src/com/google/zxing/client/android/history/HistoryItem.java and android/src/com/google/zxing/client/android/history/HistoryActivity.java. The adapter is very small (71 lines) and contains only one constructor and one overridden method, getView(), which just inflates/binds a history list row and handles the empty-state row</t>
  </si>
  <si>
    <t>Inspected `byte-buddy-agent/src/main/java/net/bytebuddy/agent/VirtualMachine.java` (AbstractBase at lines 197-222, plus `ForHotSpot` and `ForOpenJ9` later in the same file). `AbstractBase` is only a tiny helper with exactly 3 one-line methods (`loadAgent`, `loadAgentPath`, `loadAgentLibrary`) that just delegate to the two-argument overloads</t>
  </si>
  <si>
    <t>Inspected src/main/java/org/jsoup/select/Evaluator.java, where IsLastOfType is a final nested class with only a constructor and toString(), and it inherits all matching behavior from IsNthLastOfType. That gives it no independent responsibilities, no method bloat, and no signs of low cohesion or a need to split it further. Also checked src/test/java/org/jsoup/select/EvaluatorTest.java, where it is only exercised for basic toString behavior.</t>
  </si>
  <si>
    <t>Inspected byte-buddy-gradle-plugin/src/main/java/net/bytebuddy/build/gradle/AbstractByteBuddyTask.java, especially lines 605-647. The nested TransformationLogger is a very small helper: one private Logger field, one constructor, and five overridden listener methods, all forwarding to logging calls only. It has a single cohesive responsibility (logging Plugin.Engine events) and shows no evidence of multiple responsibilities, large method count, or separable abstractions.</t>
  </si>
  <si>
    <t>Inspected byte-buddy-dep/src/main/java/net/bytebuddy/implementation/bytecode/Addition.java and byte-buddy-dep/src/test/java/net/bytebuddy/implementation/bytecode/AdditionTest.java, plus sibling classes Multiplication.java and Subtraction.java for context. Addition is a compact enum with 4 constants, 2 fields, 1 constructor, and only 2 trivial methods (`isValid`, `apply`)</t>
  </si>
  <si>
    <t>Inspected `byte-buddy-dep/src/main/java/net/bytebuddy/dynamic/ClassFileLocator.java` around lines 1755-1763 and 1791-1872. `Initializable` is a nested interface with exactly one method (`Dispatcher initialize()`), no fields, and it is only used by two small nested classes (`Resolved` and `Unresolved`) as a simple initialization bridge. There is no evidence of many methods, multiple responsibilities, or low cohesion for this unit, so insufficient modularization is not present.</t>
  </si>
  <si>
    <t>Inspected byte-buddy-dep/src/main/java/net/bytebuddy/implementation/bytecode/member/HandleInvocation.java and byte-buddy-dep/src/test/java/net/bytebuddy/implementation/bytecode/member/HandleInvocationTest.java. The target class is only 63 lines, has one field, one constructor, and one behavior method (`apply`)</t>
  </si>
  <si>
    <t>Inspected byte-buddy-dep/src/main/java/net/bytebuddy/implementation/attribute/MethodAttributeAppender.java:148-230 and byte-buddy-dep/src/test/java/net/bytebuddy/implementation/attribute/MethodAttributeAppenderForInstrumentedMethodTest.java, .../MethodAttributeAppenderForInstrumentedMethodOtherTest.java. The enum has only two variants (EXCLUDING_RECEIVER, INCLUDING_RECEIVER) plus a trivial make() and one apply() method with a small receiver hook</t>
  </si>
  <si>
    <t>Inspected javaparser-core/src/main/java/com/github/javaparser/ast/visitor/VoidVisitor.java (246 lines, 103 visit signatures) plus VoidVisitorWithDefaults.java and VoidVisitorAdapter.java. VoidVisitor is a pure interface with no fields or behavior</t>
  </si>
  <si>
    <t>Inspected byte-buddy-maven-plugin/src/main/java/net/bytebuddy/build/maven/ByteBuddyMojo.java around lines 1205-1235 and its usage at line 292. FromClassLoader is a very small nested helper with one field (classPath), one constructor, and one overridden method that only converts classpath strings into a URLClassLoader. It serves a single, narrow responsibility as a specialization of ForDiscoveredPlugin, so there is no evidence of excessive size, multiple responsibilities, or low cohesion.</t>
  </si>
  <si>
    <t>Inspected `javaparser-core/src/main/java/com/github/javaparser/metamodel/LineCommentMetaModel.java`, `CommentMetaModel.java`, and `JavaParserMetaModel.java`. `LineCommentMetaModel` is a 49-line generated leaf wrapper with no fields and only one package-private constructor that delegates all behavior to `CommentMetaModel`</t>
  </si>
  <si>
    <t>Inspected src/main/java/org/apache/commons/io/file/SimplePathVisitor.java, src/main/java/org/apache/commons/io/file/NoopPathVisitor.java, and src/main/java/org/apache/commons/io/file/CountingPathVisitor.java. SimplePathVisitor is only 105 lines long and contains 3 constructors, 1 overridden method (visitFileFailed), and a small nested AbstractBuilder with 1 field and 1 setter</t>
  </si>
  <si>
    <t>Inspected src/main/java/org/apache/commons/io/input/TimestampedObserver.java, src/main/java/org/apache/commons/io/input/ObservableInputStream.java, and src/test/java/org/apache/commons/io/input/TimestampedObserverTest.java. The class is small and single-purpose: 111 lines total, 1 constructor, 1 overridden callback (closed), 4 timestamp/duration accessors, 1 boolean state query, and toString. It only records open/close instants for ObservableInputStream observers, and the test file exercises that narrow behavior, so there is no evidence of excess responsibilities or clear decomposition opportunity.</t>
  </si>
  <si>
    <t>Inspected byte-buddy-dep/src/main/java/net/bytebuddy/implementation/MethodAccessorFactory.java (135 lines): it is a small interface with only 3 abstract operations (`registerAccessorFor`, `registerGetterFor`, `registerSetterFor`) plus two nested enums (`AccessType`, `Illegal`). The responsibilities are cohesive around accessor registration, and the interface is extended by Implementation.Context in byte-buddy-dep/src/main/java/net/bytebuddy/implementation/Implementation.java, which supports that it is a focused contract rather than an insufficiently modular class.</t>
  </si>
  <si>
    <t>Inspected src/main/java/org/apache/commons/io/comparator/LastModifiedFileComparator.java and src/main/java/org/apache/commons/io/comparator/AbstractFileComparator.java, plus src/test/java/org/apache/commons/io/comparator/LastModifiedFileComparatorTest.java. The target class is only 92 lines and contains one behavior method (`compare`), two singleton constants, and an empty constructor</t>
  </si>
  <si>
    <t>Inspected `byte-buddy-dep/src/main/java/net/bytebuddy/description/ModifierReviewable.java` and `byte-buddy-dep/src/main/java/net/bytebuddy/description/method/ParameterDescription.java`. The target is a tiny nested interface at lines 314-331 with only 2 methods (`getParameterManifestation`, `getProvisioningState`) and it simply extends `OfMandatable`</t>
  </si>
  <si>
    <t>Inspected `core/src/main/resources/examples/PolymorphismTest.java` and `core/src/test/java/org/adoptopenjdk/jitwatch/test/TestInnerClassRelationship.java`. `Quarter` is a tiny inner class at lines 26-32 with one public method, `deposit()`, and one responsibility: add 25 to `moneyBox`. It has no internal branching, no additional fields, and no extra methods, so there is no evidence of insufficient modularization in `Quarter` itself.</t>
  </si>
  <si>
    <t>Inspected src/main/java/org/apache/commons/lang3/CachedRandomBits.java, src/test/java/org/apache/commons/lang3/CachedRandomBitsTest.java, and its use in src/main/java/org/apache/commons/lang3/RandomStringUtils.java. The class is package-private, 137 lines, and contains only two fields plus one constructor and one public method (`nextBits(int)`), with Javadoc stating a single purpose: generate cached random bits for RandomStringUtils. The test file exercises only that one behavior, and the caller shows it is a focused internal helper rather than a class with multiple separable responsibilities, so there is no evidence of insufficient modularization.</t>
  </si>
  <si>
    <t>Inspected `javaparser-core/src/main/java/com/github/javaparser/ast/expr/CastExpr.java`, `javaparser-core/src/main/java/com/github/javaparser/ast/expr/TypeExpr.java`, and `javaparser-core/src/main/java/com/github/javaparser/ast/expr/Expression.java`. `CastExpr` is a small AST node (~170 lines) with only 2 fields (`type`, `expression`) and standard generated boilerplate: constructors, getters/setters, `clone`, `replace`, visitor dispatch, and `is/as/if/toCastExpr` helpers. It does not contain multiple domain responsibilities or a large set of bespoke methods</t>
  </si>
  <si>
    <t>Inspected `jimfs/src/main/java/com/google/common/jimfs/Configuration.java` and `jimfs/src/test/java/com/google/common/jimfs/ConfigurationTest.java`. `WindowsHolder` is only lines 180-191 in `Configuration.java` and contains a single `private static final Configuration WINDOWS` constant with no methods and no separate behavior</t>
  </si>
  <si>
    <t>Inspected byte-buddy-dep/src/main/java/net/bytebuddy/implementation/MethodDelegation.java: the inner class at lines 933-980 is compact and cohesive, with one field (`records`), one constructor, one static factory (`of`), and only two instance methods (`prepare`, `compile`), all directly serving static-method delegation. The surrounding MethodDelegation class is large (1852 lines) but this specific nested class is not overloaded or multi-responsibility, so there is no evidence of insufficient modularization for ForStaticMethod.</t>
  </si>
  <si>
    <t>Inspected `byte-buddy-benchmark/src/main/java/net/bytebuddy/benchmark/SuperClassInvocationBenchmark.java` (370 LOC, one `setUp()` plus a focused set of benchmark methods around a single benchmark concern) and `byte-buddy-benchmark/pom.xml` (JMH annotation processor dependency at lines 50-54 and `net.bytebuddy.benchmark.jmh_generated` excluded from javadoc at lines 117-120). The repository does not contain a tracked source file for the generated `...jmhTest` class, and the available evidence points to generated JMH scaffolding rather than a hand-written, multi-responsibility class with insufficient modularization.</t>
  </si>
  <si>
    <t>Inspected `byte-buddy-dep/src/main/java/net/bytebuddy/implementation/bytecode/TypeCreation.java` and `byte-buddy-dep/src/test/java/net/bytebuddy/implementation/bytecode/TypeCreationTest.java`. The class is only 37 lines long, has one field, one protected constructor, one static factory (`of`) that only validates instantiability, and one `apply` method that emits `NEW` via ASM</t>
  </si>
  <si>
    <t>Inspected `byte-buddy-dep/src/main/java/net/bytebuddy/dynamic/scaffold/TypeWriter.java` at the `Constraint.ForInterface` enum (lines 3130-3289) and its use at lines 2463-2464. `ForInterface` is a small policy enum with only two constants (`CLASSIC`, `JAVA_8`), one boolean field (`classic`), and the shared `Constraint` contract methods</t>
  </si>
  <si>
    <t>Inspected `javaparser-symbol-solver-core/src/main/java/com/github/javaparser/symbolsolver/SourceFileInfoExtractor.java` and `javaparser-symbol-solver-testing/src/test/java/com/github/javaparser/symbolsolver/resolution/AnalyseJavaSymbolSolver060Test.java`. The class is 228 lines with 17 methods total (10 public, 7 private) and 7 mutable fields</t>
  </si>
  <si>
    <t>Inspected [javaparser-symbol-solver-testing/src/test/resources/issue241/TypeWithMemberType.java](.../javaparser-symbol-solver-testing/src/test/resources/issue241/TypeWithMemberType.java#L1-L9) and [javaparser-symbol-solver-testing/src/test/resources/Issue241.java.txt](.../javaparser-symbol-solver-testing/src/test/resources/Issue241.java.txt#L1-L7). The target is a tiny member interface with an empty body and no methods or fields</t>
  </si>
  <si>
    <t>`jimfs/src/main/java/com/google/common/jimfs/RegularFile.java` is 671 lines and contains ~28 methods, mixing distinct responsibilities: block-array/storage management (`copyBlocksTo`, `transferBlocksTo`, `truncateBlocks`, `addBlock`), lifecycle/delete tracking (`opened`, `closed`, `deleted`), size/accounting, and full read/write/transfer I/O for arrays, `ByteBuffer`, and channels. `jimfs/src/main/java/com/google/common/jimfs/HeapDisk.java` also treats it as a disk/block-cache helper, and `jimfs/src/test/java/com/google/common/jimfs/RegularFileTest.java` covers many separate behaviors. The breadth and concentration of these concerns indicate insufficient modularization.</t>
  </si>
  <si>
    <t>Inspected `javaparser-core/src/main/java/com/github/javaparser/utils/VisitorList.java` (lines 268-297) and the related `VisitorSet.java`/`VisitorMap.java` helpers. The target is a private inner helper with one field and only four behaviors: constructor, two `accept` methods that just throw `AssertionError`, and `hashCode`/`equals` delegating to the configured visitors. It has a single, narrow responsibility for list element identity</t>
  </si>
  <si>
    <t>Inspected `byte-buddy-dep/src/main/java/net/bytebuddy/implementation/InvokeDynamic.java`: `ForInterceptedMethodParameters` is a singleton enum with only two trivial methods, `resolve(...)` and `prepare(...)`. `resolve(...)` just builds a `Resolved.Simple` from `MethodVariableAccess.allArgumentsOf(instrumentedMethod)` and the parameter erasures, while `prepare(...)` is an identity return. The nested type has no branching, no fields, and no separate responsibilities, so it does not show insufficient modularization.</t>
  </si>
  <si>
    <t>Inspected `byte-buddy-dep/src/main/java/net/bytebuddy/dynamic/scaffold/MethodGraph.java` (lines 1911-1955) and `byte-buddy-dep/src/test/java/net/bytebuddy/dynamic/scaffold/MethodGraphNodeListTest.java` (lines 19-56). `NodeList` is a small nested wrapper with one field and only five simple members (`get`, `size`, `wrap`, `asMethodList`, constructor), and its behavior is limited to list delegation plus a single conversion to `MethodList`</t>
  </si>
  <si>
    <t>Inspected byte-buddy-dep/src/main/java/net/bytebuddy/pool/TypePool.java around lines 7158-7200. ForAnnotationValue is a private static nested helper with only 2 fields (typePool, annotationToken), 1 constructor, and 2 methods (getSort, doResolve). Its logic is narrowly focused on resolving one annotation token into missing/mismatched/annotation-description outcomes, with no evidence of multiple responsibilities, large method count, or separable concerns.</t>
  </si>
  <si>
    <t>Inspected core/src/main/resources/examples/TestInner.java and core/src/test/java/org/adoptopenjdk/jitwatch/test/TestBytecodeLoaderWithInnerClasses.java. TestInner is a small example class: the outer class has only 3 members (constructor, a(), main) and each inner class adds just one constructor and one method</t>
  </si>
  <si>
    <t>Inspected [src/main/java/org/apache/commons/io/input/BrokenReader.java](/data/henrique/detecting_smells_study/codex/data/repositories/apache/commons-io/src/main/java/org/apache/commons/io/input/BrokenReader.java) and [src/test/java/org/apache/commons/io/input/BrokenReaderTest.java](/data/henrique/detecting_smells_study/codex/data/repositories/apache/commons-io/src/test/java/org/apache/commons/io/input/BrokenReaderTest.java). BrokenReader is a small, single-purpose test helper: 1 field, 4 constructors, 6 overridden Reader methods, and 1 private helper, with every public method delegating to the same throw/rethrow behavior. The test class also treats it as one focused behavior (always throwing the configured exception), so there is no evidence of multiple responsibilities or excessive decomposition need.</t>
  </si>
  <si>
    <t>Inspected `ui/src/main/java/org/adoptopenjdk/jitwatch/ui/main/ClassMemberList.java` (386 lines) plus `ClassTree.java` and `JITWatchUI.java` for context. `ClassMemberList` combines several separable responsibilities in one class: it builds and lays out the UI (`VBox`, `CheckBox`, `ListView`), persists the compiled-members filter to `JITWatchConfig`, handles selection change notification to listeners, constructs and dispatches multiple context-menu actions, computes intrinsics via `IntrinsicFinder`, and manages programmatic selection/state syncing. The class also contains a nested `MetaMethodCell` for rendering. This mix of UI composition, configuration, event routing, business lookup, and cell rendering indicates insufficient modularization.</t>
  </si>
  <si>
    <t>`javaparser-symbol-solver-core/src/main/java/com/github/javaparser/symbolsolver/resolution/typeinference/ControlFlowLogic.java` is a 333-line class with 6 public methods and 4 private helpers, and it bundles several distinct responsibilities: break/continue target handling, statement reachability, and normal-completion analysis. The file also contains large embedded visitors for different statement kinds plus multiple unimplemented stubs (`breakTarget`, `contains`, `containedTryStmts`, `isReachableBecauseOfPosition`, and `visit(LabeledStmt)`), indicating a partially decomposed utility rather than a tightly cohesive class.</t>
  </si>
  <si>
    <t>Inspected `src/main/java/org/apache/commons/lang3/concurrent/LazyInitializer.java` (176 lines): it has one state field (`object`), one sentinel (`NO_INIT`), one inner `Builder`, and only three behavior methods on the class itself (`get()`, `getTypedException()`, `isInitialized()`). The shared close/initializer plumbing is delegated to `src/main/java/org/apache/commons/lang3/concurrent/AbstractConcurrentInitializer.java`, so `LazyInitializer` stays narrowly focused on lazy single-instance initialization. The tests in `src/test/java/org/apache/commons/lang3/concurrent/LazyInitializerSimpleTest.java` and `LazyInitializerSupplierTest.java` also exercise only this focused behavior and builder wiring. This is a small, cohesive abstraction, not an insufficiently modularized class.</t>
  </si>
  <si>
    <t>Inspected `src/main/java/org/apache/commons/lang3/text/FormatFactory.java` and found a 43-line interface with exactly one abstract method, `getFormat(String, String, Locale)`, so it does not show excessive size, many methods, or multiple responsibilities. `src/main/java/org/apache/commons/lang3/text/ExtendedMessageFormat.java` uses it only as a narrow registry hook for custom formats, and `src/test/java/org/apache/commons/lang3/text/ExtendedMessageFormatTest.java` contains simple one-method implementations, reinforcing that this unit is a small cohesive contract rather than an insufficiently modular class.</t>
  </si>
  <si>
    <t>`jimfs/src/main/java/com/google/common/jimfs/FileSystemView.java` is 743 lines long and defines 22 public members, while combining several distinct responsibilities: path lookup/resolution (`toRealPath`, `isSameFile`), directory-stream creation (`newDirectoryStream`), file creation (`createDirectory`, `createSymbolicLink`, `getOrCreateRegularFile`), link/delete/copy/move operations, and attribute read/write APIs. That breadth of operations in one class is strong evidence of insufficient modularization.</t>
  </si>
  <si>
    <t>Inspected byte-buddy-dep/src/main/java/net/bytebuddy/dynamic/ClassFileLocator.java. The NoOp nested enum is a singleton with only two trivial methods: locate(String) always returns new Resolution.Illegal(name) and close() does nothing. It has no fields, no branching, and no additional responsibilities, so there is no evidence of insufficient modularization.</t>
  </si>
  <si>
    <t>Inspected byte-buddy-dep/src/main/java/net/bytebuddy/description/type/PackageDescription.java:69-112, where AbstractBase has only 6 concrete methods and no fields</t>
  </si>
  <si>
    <t>Inspected `src/main/java/org/jsoup/select/Evaluator.java` and `src/main/java/org/jsoup/select/QueryParser.java`. `IsFirstOfType` is a tiny nested class at lines 545-552 with only a no-arg constructor and `toString()`, and it inherits all matching logic from `IsNthOfType` (lines 654-677), so it has a single responsibility rather than enough independent behavior to warrant decomposition. `QueryParser` only instantiates it for the `:first-of-type` pseudo-class (line 244), confirming it is a focused adapter, not a large or low-cohesion unit.</t>
  </si>
  <si>
    <t>Inspected core/src/main/java/com/google/googlejavaformat/java/DimensionHelpers.java:40-48</t>
  </si>
  <si>
    <t>Inspected [JavaToken.java](/data/henrique/detecting_smells_study/codex/data/repositories/javaparser/javaparser/javaparser-core/src/main/java/com/github/javaparser/JavaToken.java#L264) and its usages in [TokenTextElement.java](/data/henrique/detecting_smells_study/codex/data/repositories/javaparser/javaparser/javaparser-core/src/main/java/com/github/javaparser/printer/lexicalpreservation/TokenTextElement.java#L24) and [Difference.java](/data/henrique/detecting_smells_study/codex/data/repositories/javaparser/javaparser/javaparser-core/src/main/java/com/github/javaparser/printer/lexicalpreservation/Difference.java#L29). `Kind` is a generated enum (`@Generated("com.github.javaparser.generator.core.other.TokenKindGenerator")`) with 153 constants (0..152) but only three small methods: `valueOf(int)`, `getKind()`, and `isPrimitive()`. The call sites use it purely as a token-kind lookup/classification enum, so it does not show mixed responsibilities or a decomposition problem.</t>
  </si>
  <si>
    <t>Inspected byte-buddy-agent/src/main/java/net/bytebuddy/agent/VirtualMachine.java (lines 2393-2465) and found UsingStat is a small nested helper with 3 fields, 1 constructor, and 1 public method. Its only responsibility is invoking the external `stat` command, waiting for completion, and parsing the returned owner id. It sits alongside a parallel PosixOwnerProvider implementation (UsingIStat), and there is no sign of many methods, broad responsibilities, or low cohesion that would indicate insufficient modularization.</t>
  </si>
  <si>
    <t>Inspected src/main/java/org/apache/commons/io/input/CountingInputStream.java and src/test/java/org/apache/commons/io/input/CountingInputStreamTest.java. The class is small (about 128 source lines), has one field (`count`), and only one responsibility: incrementing a byte counter on reads/skips and exposing/resetting that counter. Its API is narrow (constructors plus `afterRead`, `getByteCount`, `getCount`, `resetByteCount`, `resetCount`, and `skip`), and the tests exercise only counting behavior, EOF, reset, and skip. This does not show the multiple responsibilities, large method set, or low cohesion typical of insufficient modularization.</t>
  </si>
  <si>
    <t>Inspected `byte-buddy-dep/src/main/java/net/bytebuddy/description/type/TypeDescription.java` (around the `LazyInterfaceList` declaration) and `byte-buddy-dep/src/main/java/net/bytebuddy/pool/TypePool.java` for comparison. In `TypeDescription.java`, `LazyInterfaceList` is a very small nested adapter with only 2 fields (`delegate`, `rawInterfaces`) and 4 simple members (`constructor`, static factory `of`, `get(int)`, `size()`), all focused on lazy interface-list wrapping and delegation</t>
  </si>
  <si>
    <t>Inspected jimfs/src/main/java/com/google/common/jimfs/JimfsInputStream.java, jimfs/src/test/java/com/google/common/jimfs/JimfsInputStreamTest.java, and jimfs/src/main/java/com/google/common/jimfs/JimfsFileSystemProvider.java. The class is small (163 lines) and narrowly scoped to InputStream behavior over a RegularFile: 6 stream overrides (read/read(byte[])/read(byte[],int,int)/skip/available/close), 1 constructor, and 4 tiny private helpers for EOF/closed-state handling. The tests exercise only stream semantics, and the provider instantiates it solely as the input-stream adapter, so there is no evidence of multiple separable responsibilities or under-decomposition.</t>
  </si>
  <si>
    <t>Inspected `javaparser-symbol-solver-core/src/main/java/com/github/javaparser/symbolsolver/cache/NoCache.java`, `javaparser-core/src/main/java/com/github/javaparser/resolution/cache/Cache.java`, and `javaparser-symbol-solver-testing/src/test/java/com/github/javaparser/symbolsolver/cache/NoCacheTest.java`. `NoCache` is only 87 lines and implements a single concern: a no-op cache</t>
  </si>
  <si>
    <t>Inspected `javaparser-symbol-solver-core/src/main/java/com/github/javaparser/symbolsolver/core/resolution/MethodUsageResolutionCapability.java`, which is a 36-line interface with a single abstract method (`solveMethodAsUsage`) and no fields or internal logic. `ContextHelper.java` uses it as a narrow capability check/delegation point, and `JavaParserClassDeclaration.java` only implements it alongside another capability. This is a small, single-responsibility abstraction, so there is no evidence of insufficient modularization.</t>
  </si>
  <si>
    <t>In `src/main/java/org/apache/commons/io/FilenameUtils.java` the class is 1,728 LOC and exposes 33 public static methods plus 18 private/package helpers. The methods span multiple distinct concerns: path concatenation/normalization (`concat`, `normalize*`, `doNormalize`), prefix/path parsing (`getPrefix*`, `getPath*`, `indexOfLastSeparator`), extension handling (`getExtension`, `removeExtension`, `isExtension`), separator conversion (`separatorsTo*`), and wildcard matching (`wildcardMatch*`, `splitOnTokens`). This breadth and size indicate insufficient modularization.</t>
  </si>
  <si>
    <t>Inspected byte-buddy-dep/src/main/java/net/bytebuddy/implementation/bind/annotation/FieldProxy.java, where the nested FieldSetter class spans a single focused responsibility: it stores three dependencies, exposes only a constructor, prepare(), and appender(), and its nested Appender adds only one apply() method to emit setter bytecode. The class is small and cohesive, with no sign of multiple unrelated responsibilities or method bloat that would indicate insufficient modularization.</t>
  </si>
  <si>
    <t>Inspected byte-buddy-dep/src/main/java/net/bytebuddy/description/type/TypeDescription.java (lines 1150-1212). ForTypeVariable is a very small nested helper: 1 private field, 1 constructor, and 5 short Boolean visitor methods. Its behavior is narrowly focused on assignability checks for a type variable, with no evidence of multiple responsibilities, large method count, or separable cohesion problems.</t>
  </si>
  <si>
    <t>Inspected `javaparser-core/src/main/java/com/github/javaparser/metamodel/YieldStmtMetaModel.java` and `javaparser-core/src/main/java/com/github/javaparser/ast/stmt/YieldStmt.java`. The target class is a generated meta-model wrapper with only one package-private constructor and one field (`expressionPropertyMetaModel`), no behavior, and a clear single responsibility of describing `YieldStmt`</t>
  </si>
  <si>
    <t>Inspected core/src/main/java/com/google/zxing/datamatrix/decoder/Version.java and core/src/main/java/com/google/zxing/datamatrix/decoder/DataBlock.java. ECBlocks is a very small static nested value holder (lines 118-138): 2 fields, 2 private constructors, and 2 package-private getters, with no branching or independent behavior. It is only used by Versionâ€™s total-codeword calculation and DataBlockâ€™s block layout logic, so there is no evidence of excessive size, multiple responsibilities, or low cohesion.</t>
  </si>
  <si>
    <t>Inspected javaparser-core/src/main/java/com/github/javaparser/resolution/Resolvable.java and found a 2-line interface with exactly one method, resolve(), so it is a minimal contract rather than an insufficiently modular class. Cross-checked usages in javaparser-core/src/main/java/com/github/javaparser/ast/expr/MethodCallExpr.java and javaparser-core/src/main/java/com/github/javaparser/ast/body/MethodDeclaration.java, where it is used as a simple marker-like capability on AST nodes, not as a class with multiple responsibilities.</t>
  </si>
  <si>
    <t>Insufficient Modularization not indicated: in `byte-buddy-dep/src/main/java/net/bytebuddy/dynamic/ClassFileLocator.java` (lines 115-147), `Resolution.Illegal` is a tiny nested sentinel with one field (`typeName`), one constructor, and only two behavioral methods (`isResolved()` always returns false</t>
  </si>
  <si>
    <t>Inspected `byte-buddy-dep/src/main/java/net/bytebuddy/pool/TypePool.java:2040-2108`. `ForAnnotationProperty` is a small helper with only two fields, one constructor, and one `bind` method</t>
  </si>
  <si>
    <t>Inspected byte-buddy-dep/src/main/java/net/bytebuddy/implementation/FieldAccessor.java: the target is the nested `FieldLocation.Prepared` interface, and it exposes only one method, `resolve(MethodDescription)`. Its two implementations (`Absolute` and `Relative.Prepared`) each hold only the state needed for field resolution, and the surrounding code uses it only as a narrow preparation/resolution handle. This is a small, cohesive abstraction, not a class with signs of insufficient modularization.</t>
  </si>
  <si>
    <t>`byte-buddy-dep/src/main/java/net/bytebuddy/dynamic/scaffold/TypeWriter.java` defines `MethodPool` as a 1,184-line nested block (lines 398-1581) containing the `Record` API, `Sort` enum, multiple concrete record implementations (`ForNonImplementedMethod`, `ForDefinedMethod.WithoutBody`, `WithBody`, `WithAnnotationDefaultValue`, `OfVisibilityBridge`, `AccessBridgeWrapper`), and helper types (`VisibilityBridge`, `AccessorBridge`, `BridgeTarget`). `byte-buddy-dep/src/test/java/net/bytebuddy/dynamic/scaffold/TypeWriterMethodPoolRecordTest.java` exercises many distinct behaviors for skipped, defined, default-value, implemented, visibility-bridge, and accessor-bridge records, showing several separable responsibilities are packed into one unit.</t>
  </si>
  <si>
    <t>Inspected gson/src/main/java/com/google/gson/FormattingStyle.java, gson/src/main/java/com/google/gson/GsonBuilder.java, gson/src/main/java/com/google/gson/stream/JsonWriter.java, and gson/src/test/java/com/google/gson/functional/FormattingStyleTest.java. FormattingStyle is a small, cohesive immutable value object: 3 private fields, 2 predefined constants, 1 private constructor, and 6 simple with/get methods, all centered on one responsibility (newline/indent/separator formatting). The related builder/writer code uses it only as a formatting configuration object, and the tests exercise a single concern set (format generation and validation), so there is no evidence of insufficient modularization.</t>
  </si>
  <si>
    <t>Inspected `src/main/java/org/apache/commons/io/output/AbstractByteArrayOutputStream.java` and found `InputStreamConstructor` is a protected `@FunctionalInterface` with a single method, `construct(byte[] buffer, int offset, int length)`, used only as a callback in `toInputStream(...)` (lines 69-80 and 260-275). The related implementations in `ByteArrayOutputStream.java` and `UnsynchronizedByteArrayOutputStream.java` each pass a single constructor method reference/lambda, so this unit is a small single-purpose interface rather than an incompletely decomposed class.</t>
  </si>
  <si>
    <t>`byte-buddy-dep/src/main/java/net/bytebuddy/description/modifier/ModifierContributor.java` defines `ForType` only as a nested marker interface with a single `MASK` constant and no methods or fields beyond that (lines 61-72)</t>
  </si>
  <si>
    <t>`src/main/java11/org/jsoup/helper/HttpClientExecutor.java` is a 187-line class with multiple responsibilities: it caches/reuses `HttpClient` instances (`client()`), builds request bodies (`requestBody()`), manages per-request proxy state via a thread-local and nested `ProxyWrap`, translates `HttpResponse` into jsoup `Response` objects in `execute()`, formats status messages, and handles cleanup (`safeClose()`). `src/test/java11/org/jsoup/helper/HttpClientExecutorTest.java` also exercises `ProxyWrap` separately from request execution, showing the proxy logic is a distinct concern embedded in the same class. This breadth indicates the class is not fully decomposed.</t>
  </si>
  <si>
    <t>Inspected `src/main/java/org/apache/commons/io/input/ByteBufferCleaner.java` (116 lines). The class is package-private and narrowly focused on one concern: selecting a JVM-specific cleaner (`Java8Cleaner` or `Java9Cleaner`) and exposing only two static operations, `clean(ByteBuffer)` and `isSupported()`. Its two nested implementations support the same single responsibility rather than separate features. The tests in `src/test/java/org/apache/commons/io/input/ByteBufferCleanerTest.java` and the callers in `BufferedFileChannelInputStream.java` and `MemoryMappedFileInputStream.java` use it only as a shared byte-buffer cleanup utility, with no evidence of multiple independent responsibilities or excessive method count.</t>
  </si>
  <si>
    <t>Inspected `byte-buddy-dep/src/main/java/net/bytebuddy/asm/MemberSubstitution.java` at lines 1969-2045. `OfOriginalExpression` is a singleton enum with no fields and only two methods: `resolve(...)`, which builds one `StackManipulation` for a small set of cases (member vs. dynamic invocation, method vs. field, constructor vs. non-constructor), and `make(...)`, which ÕºÕ¡Ö€Õ¦Õ¡ÕºÕ¥Õ½ returns `this`. The class is small and cohesive, so I did not find evidence of insufficient modularization.</t>
  </si>
  <si>
    <t>Inspected byte-buddy-dep/src/main/java/net/bytebuddy/description/modifier/ParameterManifestation.java and the nearby sibling byte-buddy-dep/src/main/java/net/bytebuddy/description/modifier/MethodManifestation.java for context. ParameterManifestation is a very small enum with only 2 constants (PLAIN, FINAL) and 4 simple methods (getMask, getRange, isDefault, isFinal)</t>
  </si>
  <si>
    <t>Inspected `javaparser-core/src/main/java/com/github/javaparser/resolution/Navigator.java` (285 LOC, 22 public static methods, 3 private helpers) plus representative uses in `javaparser-symbol-solver-core/src/main/java/com/github/javaparser/symbolsolver/javaparsermodel/TypeExtractor.java` and `javaparser-core/src/main/java/com/github/javaparser/ast/validator/language_level_validations/Java22Validator.java`. The class is a stateless utility focused on one cohesive concern, AST navigation: type/member lookup, node search, parent traversal, and a few deprecated delegating aliases. The methods are short and grouped around that single purpose, so there is not enough evidence of insufficient modularization.</t>
  </si>
  <si>
    <t>Insufficient modularization is present: `src/main/java/org/apache/commons/lang3/builder/HashCodeBuilder.java` is 921 lines long and defines 32 public methods plus 9 private methods. The class mixes several responsibilities in one type: a mutable hash-code builder with `append(...)` overloads for every primitive and array type, `appendSuper`, `build`, `hashCode`, and `toHashCode`, plus a separate reflection-based API (`reflectionHashCode(...)` overloads) with cycle-detection/registry helpers (`reflectionAppend`, `register`, `unregister`). The tests in `src/test/java/org/apache/commons/lang3/builder/HashCodeBuilderTest.java` and `src/test/java/org/apache/commons/lang3/builder/HashCodeBuilderAndEqualsBuilderTest.java` exercise both manual append and reflection-based behavior, reinforcing that the class bundles multiple separable concerns.</t>
  </si>
  <si>
    <t>Inspected byte-buddy-dep/src/main/java/net/bytebuddy/implementation/bind/annotation/TargetMethodAnnotationDrivenBinder.java and byte-buddy-dep/src/test/java/net/bytebuddy/implementation/bind/annotation/TargetMethodAnnotationDrivenBinderTest.java. The nested DelegationProcessor.Handler is a very small abstraction with only 2 methods (isBound, bind) and just 2 concrete implementations (Unbound and Bound) in a single focused binding workflow (around lines 457-616), so there is no evidence of excessive size, many public methods, or multiple unrelated responsibilities.</t>
  </si>
  <si>
    <t>Inspected `byte-buddy-dep/src/main/java/net/bytebuddy/description/TypeVariableSource.java` (lines 103-145) and found `Visitor` is a tiny nested interface with only two abstract methods, `onType(...)` and `onMethod(...)`, plus one nested `NoOp` enum with two trivial pass-through implementations. There are no fields, no additional behaviors, and no evidence of multiple responsibilities or a need to split the unit further. Related usages in `MethodDescription.java` and `TypeDescription.java` treat it as a simple callback interface, reinforcing low complexity.</t>
  </si>
  <si>
    <t>Insufficient modularization is present: `javaparser-core/src/main/javacc/java.jj` shows the token manager template bundling several responsibilities in one generated class, including token storage (`tokens`, `homeToken`, `storeTokens`), comment tracking (`commentsCollection`), markdown-comment buffering/parsing (`markdownCommentTokens`, `createMarkdownComment`, `CommonTokenAction`), and lexical feature toggles (`yieldSupported`, `expectMarkdownComment`, `expectEndOfMarkdownLine`). The same grammar file also contains a large token/specification section for whitespace, comments, reserved words, and literals, while `javaparser-core/src/main/javacc-support/com/github/javaparser/GeneratedJavaParserTokenManagerBase.java` only extracts a few comment-conversion helpers, leaving most behavior centralized in the token manager rather than decomposed into smaller cohesive classes.</t>
  </si>
  <si>
    <t>Inspected gson/src/main/java/com/google/gson/internal/Streams.java and gson/src/test/java/com/google/gson/internal/StreamsTest.java, plus the call site in gson/src/main/java/com/google/gson/JsonParser.java. Streams is a small 169-line utility with only 3 public methods (parse, write, writerForAppendable) and one private nested Writer helper</t>
  </si>
  <si>
    <t>Inspected `byte-buddy-dep/src/main/java/net/bytebuddy/implementation/bytecode/Throw.java` (46 lines) and `byte-buddy-dep/src/test/java/net/bytebuddy/implementation/bytecode/ThrowTest.java`. The class is a singleton enum with only two concrete behaviors: `isValid()` always returns `true`, and `apply(...)` emits `Opcodes.ATHROW` and returns `StackSize.SINGLE.toDecreasingSize()`. This is a narrow, single-purpose stack manipulation with no sign of excessive methods, mixed responsibilities, or low cohesion, so insufficient modularization is not present.</t>
  </si>
  <si>
    <t>Inspected `byte-buddy-dep/src/main/java/net/bytebuddy/implementation/attribute/MethodAttributeAppender.java` (lines 374-402). The nested `OnMethodParameter` class is very small: one private field (`parameterIndex`), one protected constructor, and one public method (`make`) whose only responsibilities are bounds-checking the parameter index and creating an `AnnotationAppender.Target.OnMethodParameter`. There is no evidence of multiple responsibilities, many methods, or low cohesion in this class.</t>
  </si>
  <si>
    <t>Inspected `javaparser-core/src/main/java/com/github/javaparser/ast/stmt/AssertStmt.java` and `javaparser-core/src/main/java/com/github/javaparser/metamodel/AssertStmtMetaModel.java`. `AssertStmt` is a small generated AST node with only two state fields (`check` and optional `message`) and a narrow set of responsibilities: constructors, getters/setters, `remove`, `replace`, `clone`, and type-casting/visitor methods</t>
  </si>
  <si>
    <t>Inspected `javaparser-core/src/main/java/com/github/javaparser/ast/type/Type.java` (371 lines) and related subtypes `ReferenceType.java`, `ArrayType.java`, `PrimitiveType.java`, `ClassOrInterfaceType.java`, and `TypeParameter.java`. `Type` has one real field (`annotations`) and most of its methods are generated one-line defaults for AST plumbing and type-dispatch (`is/as/to/if` for the known type variants), plus `clone`, `getMetaModel`, `remove`, `replace`, and abstract hooks like `asString()`/`resolve()`. The concrete subtype-specific responsibilities are already split into the subclasses, so this looks like a cohesive base abstraction rather than a class that should be decomposed further.</t>
  </si>
  <si>
    <t>Inspected [src/main/java/org/jsoup/parser/ParseErrorList.java](/data/henrique/detecting_smells_study/codex/data/repositories/jhy/jsoup/src/main/java/org/jsoup/parser/ParseErrorList.java), [src/main/java/org/jsoup/parser/Parser.java](/data/henrique/detecting_smells_study/codex/data/repositories/jhy/jsoup/src/main/java/org/jsoup/parser/Parser.java), and [src/main/java/org/jsoup/parser/TreeBuilder.java](/data/henrique/detecting_smells_study/codex/data/repositories/jhy/jsoup/src/main/java/org/jsoup/parser/TreeBuilder.java). ParseErrorList is only 50 lines and declares 5 small methods: 2 package-private constructors, 2 static factories, canAddError(), getMaxSize(), and clone()</t>
  </si>
  <si>
    <t>Inspected src/main/java/org/apache/commons/io/input/QueueInputStream.java and src/main/java/org/apache/commons/io/output/QueueOutputStream.java, plus src/test/java/org/apache/commons/io/input/QueueInputStreamTest.java. The Builder is very small and cohesive: it has only 2 state fields (BlockingQueue&lt;Integer&gt; and Duration), 1 constructor, 2 setters, and 1 build method, and its only responsibility is validating defaults and constructing QueueInputStream. The tests exercise just these two configuration knobs, with no sign of multiple separable responsibilities, excessive size, or low cohesion.</t>
  </si>
  <si>
    <t>Inspected `jimfs/src/main/java/com/google/common/jimfs/FileFactory.java` and `jimfs/src/test/java/com/google/common/jimfs/FileFactoryTest.java`. `SymbolicLinkSupplier` is a private nested helper with only one field (`target`) and one behavior (`get()` delegates to `createSymbolicLink(target)`), so it is a thin callback rather than an under-decomposed class</t>
  </si>
  <si>
    <t>Inspected `byte-buddy-dep/src/main/java/net/bytebuddy/dynamic/loading/InjectionClassLoader.java` (163 LOC) along with `ByteArrayClassLoader.java`, `MultipleParentClassLoader.java`, and `InjectionClassLoaderTest.java`. The class is small and cohesive: one state field (`sealed`), two state methods (`isSealed`, `seal`), one injection path (`defineClass`/`defineClasses`), one abstract hook (`doDefineClasses`), and one tiny nested `Strategy` adapter. The subclasses and tests show these pieces all serve the same concern of controlled class injection, so there is no strong evidence of insufficient modularization.</t>
  </si>
  <si>
    <t>Inspected byte-buddy-dep/src/main/java/net/bytebuddy/implementation/auxiliary/TypeProxy.java and byte-buddy-dep/src/test/java/net/bytebuddy/implementation/auxiliary/TypeProxyCreationTest.java. The target nested class spans only lines 398-472, has 5 fields, one constructor, and a single apply method</t>
  </si>
  <si>
    <t>Yes. In core/src/main/java/com/google/zxing/oned/rss/expanded/decoders/GeneralAppIdDecoder.java the class is 470 lines long and contains about 18 methods, including separate parsers for numeric, alphanumeric, and ISO/IEC 646 modes plus multiple latch-detection helpers and shared buffer/state management. The class centralizes the full bit-level decoding state machine instead of splitting those concerns into smaller parser abstractions</t>
  </si>
  <si>
    <t>Inspected `byte-buddy-dep/src/main/java/net/bytebuddy/build/Plugin.java` and `byte-buddy-dep/src/test/java/net/bytebuddy/build/PluginFactoryUsingReflectionTest.java`. `Plugin.Ambiguous` is a small package-private nested helper with one constructor, two fields for the competing constructors, and only two operations (`replaceBy` and `instantiate`)</t>
  </si>
  <si>
    <t>Inspected `javaparser-core/src/main/java/com/github/javaparser/ast/visitor/NodeFinderVisitor.java` and `javaparser-core-testing/src/test/java/com/github/javaparser/ast/visitor/NodeFinderVisitorTest.java`. The class is 2208 LOC and defines 100 overridden `visit(...)` methods (103 public methods total), spanning declarations, expressions, statements, modules, types, and comments in one monolithic visitor, with shared mutable state (`selectedNode`) and a shared predicate (`fn`). This breadth and method count indicate a class that could be split into smaller, more cohesive abstractions.</t>
  </si>
  <si>
    <t>Inspected ui/src/main/java/org/adoptopenjdk/jitwatch/ui/viewer/TextViewerStage.java, ui/src/main/java/org/adoptopenjdk/jitwatch/ui/viewer/AbstractTextViewerStage.java, and ui/src/main/java/org/adoptopenjdk/jitwatch/ui/viewer/JournalViewerStage.java. TextViewerStage is only 62 lines and defines a single public constructor with no additional methods</t>
  </si>
  <si>
    <t>`src/main/java/org/apache/commons/lang3/text/WordUtils.java` is a 717-line utility class with 10 public static methods spanning several distinct concerns: capitalization/uncapitalization (`capitalize`, `capitalizeFully`, `uncapitalize`), initials extraction (`initials`), case swapping (`swapCase`), word search (`containsAllWords`), and text wrapping (`wrap`), plus only one small private helper (`isDelimiter`). `src/test/java/org/apache/commons/lang3/text/WordUtilsTest.java` treats these as separate behaviors, which is evidence of multiple responsibilities and low cohesion, so the class could be split into smaller abstractions.</t>
  </si>
  <si>
    <t>Inspected `android/src/com/google/zxing/client/android/encode/Formatter.java`, `ContactEncoder.java`, `VCardContactEncoder.java`, `VCardFieldFormatter.java`, `VCardTelDisplayFormatter.java`, and `MECARDContactEncoder.java`. `Formatter` is only a 1-method package-private strategy interface (`format(CharSequence, int)`), with no fields or bundled responsibilities</t>
  </si>
  <si>
    <t>Inspected javaparser-core/src/main/java/com/github/javaparser/printer/concretesyntaxmodel/CsmList.java and javaparser-core/src/main/java/com/github/javaparser/printer/concretesyntaxmodel/CsmElement.java. CsmList is a focused list-formatting helper: 5 fields, 3 constructors, 5 getters, 1 prettyPrint method, and 1 toString, all centered on printing list-like properties. The two-branch prettyPrint only handles NodeList vs Collection values and separator/pre/post handling</t>
  </si>
  <si>
    <t>Inspected src/main/java/org/apache/commons/lang3/ArrayFill.java and src/test/java/org/apache/commons/lang3/ArrayFillTest.java. ArrayFill is a 199-line final utility with 10 public static fill overloads plus a private constructor</t>
  </si>
  <si>
    <t>Inspected `ui/src/main/java/org/adoptopenjdk/jitwatch/ui/Dialogs.java`: `Response` is a nested enum with only 3 constants (`NO`, `YES`, `NEVER`) and no methods or fields, while the dialog-building logic is implemented in the outer `Dialogs` class. Its usages in `EditorPane.java`, `SandboxStage.java`, and `MainConfigStage.java` treat it only as a simple return/status token, so the enum itself is not under-modularized.</t>
  </si>
  <si>
    <t>In [MethodRebaseResolver.java](/data/henrique/detecting_smells_study/codex/data/repositories/raphw/byte-buddy/byte-buddy-dep/src/main/java/net/bytebuddy/dynamic/scaffold/inline/MethodRebaseResolver.java#L491) the Default class is compact: it has 2 fields, 1 protected constructor, 1 static factory, and only 3 instance methods (`resolve`, `getAuxiliaryTypes`, `asTokenMap`), all centered on storing and exposing rebasing resolutions. The companion [MethodRebaseResolverDefaultTest.java](/data/henrique/detecting_smells_study/codex/data/repositories/raphw/byte-buddy/byte-buddy-dep/src/test/java/net/bytebuddy/dynamic/scaffold/inline/MethodRebaseResolverDefaultTest.java#L30) exercises only lookup, auxiliary types, token-map conversion, and creation with/without constructors, which supports a narrow, cohesive responsibility rather than insufficient modularization.</t>
  </si>
  <si>
    <t>Inspected `src/main/java/org/apache/commons/lang3/ArrayUtils.java`</t>
  </si>
  <si>
    <t>Inspected `byte-buddy-gradle-plugin/android-plugin/src/main/java/net/bytebuddy/build/gradle/android/ByteBuddyAndroidPlugin.java` (lines 626-641) and `byte-buddy-gradle-plugin/android-plugin/src/main/java/net/bytebuddy/build/gradle/android/ByteBuddyLocalClassesEnhancerTask.java` (lines 122-128). `GetProjectJarsFunction` is a protected enum nested inside `ForApk74CompatibleAndroid` with exactly one `invoke` method, and that method only returns `task.getInputJars()`. It is used once in the `toTransform` wiring, while the task already exposes `getInputJars()` as a dedicated `@InputFiles` accessor. This is a tiny single-purpose adapter, not an insufficiently modularized class with multiple responsibilities.</t>
  </si>
  <si>
    <t>Inspected byte-buddy-dep/src/main/java/net/bytebuddy/asm/MemberSubstitution.java, lines 3995-4192. The target is a compact ~198-line inner class with a narrow single responsibility: binding the @This reference. The outer class has only a constructor and resolve()</t>
  </si>
  <si>
    <t>Inspected javaparser-core-serialization/src/main/java/com/github/javaparser/serialization/JavaParserJsonSerializer.java and javaparser-core-serialization/src/main/java/com/github/javaparser/serialization/JavaParserJsonDeserializer.java. JsonTokenRange is a tiny nested enum with only 2 constants (BEGIN_TOKEN, END_TOKEN), one constructor, and one toString method</t>
  </si>
  <si>
    <t>Inspected `byte-buddy-dep/src/main/java/net/bytebuddy/description/ModifierReviewable.java` (the target nested interface is only lines 77-130) plus `ByteCodeElement.java` and `ElementMatchers.java`. `OfByteCodeElement` defines just 8 modifier-query methods (`isPublic`, `isProtected`, `isPackagePrivate`, `isPrivate`, `isStatic`, `isDeprecated`, `getOwnership`, `getVisibility`) on top of the inherited `ModifierReviewable` contract</t>
  </si>
  <si>
    <t>Inspected byte-buddy-dep/src/main/java/net/bytebuddy/pool/TypePool.java at lines 8748-8809 and 8441-8450. The target is a small nested helper with one field, two constructors, and only four behavior methods (`getOwnerType`, `getComponentType`, `getDeclaredAnnotations`, `asErasure`), all focused on representing a non-generic receiver type. It shows a single cohesive responsibility and no evidence of excessive size, many public methods, or multiple separable concerns, so insufficient modularization is not detected.</t>
  </si>
  <si>
    <t>Inspected byte-buddy-dep/src/main/java/net/bytebuddy/description/type/TypeDescription.java, nested class ForErasure at lines 4089-4139. It is a small adapter with 1 field, 1 constructor, and only 4 overrides (asErasure, getOwnerType, getComponentType, getDeclaredAnnotations), all of which are simple null checks or direct delegation/derivation from the wrapped TypeDescription. The surrounding file separates richer concerns into other nested classes such as Latent and ForReifiedErasure, so ForErasure does not show the excess size, method count, or mixed responsibilities expected for insufficient modularization.</t>
  </si>
  <si>
    <t>Inspected `core/src/main/java/com/google/zxing/client/result/VINResultParser.java` and `core/src/test/java/com/google/zxing/client/result/VINParsedResultTestCase.java`. The class is only 209 lines and exposes a single public `parse(Result)` method</t>
  </si>
  <si>
    <t>Inspected byte-buddy-dep/src/main/java/net/bytebuddy/dynamic/DynamicType.java:2772-3919. `MethodDefinition` is a 1,148-line nested builder tree with 22 nested interface/abstract-base declarations</t>
  </si>
  <si>
    <t>Inspected src/main/java/org/apache/commons/lang3/tuple/ImmutablePair.java and src/main/java/org/apache/commons/lang3/tuple/Pair.java. ImmutablePair is a compact value type (197 lines) with one constructor, two final fields, three instance methods (`getLeft`, `getRight`, `setValue`), and a handful of simple factory helpers</t>
  </si>
  <si>
    <t>Inspected `src/main/java/org/apache/commons/lang3/time/StopWatch.java` (lines 125-222). `State` is a private nested enum with only 4 constants (`RUNNING`, `STOPPED`, `SUSPENDED`, `UNSTARTED`) and 3 abstract predicate methods (`isStarted()`, `isStopped()`, `isSuspended()`), each implemented per constant. It has a single responsibility: encoding stopwatch status checks used by `StopWatch`</t>
  </si>
  <si>
    <t>Inspected `core/src/main/java/com/google/googlejavaformat/Newlines.java` (lines 157-199) and `core/src/test/java/com/google/googlejavaformat/NewlinesTest.java`. `LineIterator` is a private nested helper with one constructor and three behavioral methods (`advance`, `hasNext`, `next`) plus `remove`</t>
  </si>
  <si>
    <t>Inspected `src/main/java/org/apache/commons/lang3/function/FailableCallable.java` (37 lines): it is a `@FunctionalInterface` with no fields, no helper methods, and only one abstract operation, `R call() throws E</t>
  </si>
  <si>
    <t>Inspected byte-buddy-dep/src/main/java/net/bytebuddy/matcher/CollectionErasureMatcher.java, byte-buddy-dep/src/main/java/net/bytebuddy/matcher/ElementMatchers.java, and byte-buddy-dep/src/test/java/net/bytebuddy/matcher/CollectionErasureMatcherTest.java. The class is only 62 lines and contains one field, one constructor, one doMatch method, and one toString override</t>
  </si>
  <si>
    <t>Inspected javaparser-symbol-solver-core/src/main/java/com/github/javaparser/symbolsolver/javaparsermodel/contexts/ForEachStatementContext.java, StatementContext.java, ForStatementContext.java, and JavaParserFactory.java. The target class is only 75 lines and overrides 3 methods: solveSymbol, solveMethod, and localVariablesExposedToChild. It is a narrow specialization of StatementContext for a ForEachStmt, with the general block/parent resolution logic delegated to the superclass and helper methods</t>
  </si>
  <si>
    <t>Inspected src/main/java/org/apache/commons/lang3/ThreadUtils.java and src/test/java/org/apache/commons/lang3/ThreadUtilsTest.java. The target is a private static nested class with only a private constructor and two trivial test methods, both returning true for Thread and ThreadGroup</t>
  </si>
  <si>
    <t>Inspected src/main/java/org/jsoup/Connection.java and src/main/java/org/jsoup/helper/HttpConnection.java, plus src/test/java/org/jsoup/helper/HttpConnectionTest.java. `Connection.KeyVal` is defined as a single key/value tuple API, and `HttpConnection.KeyVal` is a small nested implementation with 4 fields (key, value, stream, contentType) and only simple factories/getters/setters plus `hasInputStream()` and `toString()`. Its behavior stays cohesive around form-data/file-upload metadata, with no evidence of multiple unrelated responsibilities or a need to split it into smaller abstractions.</t>
  </si>
  <si>
    <t>`byte-buddy-dep/src/main/java/net/bytebuddy/dynamic/loading/ClassInjector.java` (UsingReflection, lines 210-1593) is a very large nested class with 3 constructors plus `injectRaw`, `isAlive`, `isAvailable`, `ofSystemClassLoader`, and a helper `doPrivileged`, and it embeds a dispatcher hierarchy (`Dispatcher`, `Initializable`, `Direct`, `ForJava7CapableVm`, `ForLegacyVm`, `UsingUnsafeInjection`, `UsingUnsafeOverride`, `Unavailable`, `System`) covering direct reflection, unsafe-based injection, package-definition fallback, and security-manager handling. `byte-buddy-dep/src/test/java/net/bytebuddy/dynamic/loading/ClassInjectorUsingReflectionTest.java` exercises these separate modes (direct, unsafe, unsafe override, legacy, unavailable), which is strong evidence of multiple separable responsibilities and insufficient modularization.</t>
  </si>
  <si>
    <t>Inspected `javaparser-symbol-solver-testing/src/test/resources/issue276/foo/B.java` and `javaparser-symbol-solver-testing/src/test/resources/issue4358/foo/B.java`. Both `foo.B` fixtures are tiny: one is an empty abstract class implementing `A`, and the other contains only one trivial static method. There is no evidence of excessive size, many methods, or multiple responsibilities, so insufficient modularization is not present.</t>
  </si>
  <si>
    <t>Inspected `javaparser-core/src/main/javacc-support/com/github/javaparser/GeneratedJavaParserBase.java` (450 lines, ~26 methods) and `javaparser-core/src/main/javacc/java.jj`. The class mixes several separable responsibilities in one abstract base: parser/token state and reset (`reset`, `setStoreTokens`, `getTokens`), token-range construction helpers (`range`, `tokenRange`, `orIfInvalid`, `nodeListBegin`), parse recovery/error reporting (`recover`, `recoverStatement`, `makeMessageForParseException`), AST/list construction helpers (`add`, `prepend`, `generateLambda`, `juggleArrayCreation`, `juggleArrayType`), and name/string utilities (`scopeToName`, `unquote`, `unTripleQuote`). The grammar file calls these helpers from unrelated productions, confirming the class acts as a kitchen-sink parser support class rather than a narrowly focused abstraction.</t>
  </si>
  <si>
    <t>Inspected `byte-buddy-dep/src/main/java/net/bytebuddy/build/CachedReturnPlugin.java` and `byte-buddy-dep/src/test/java/net/bytebuddy/build/CachedReturnPluginOtherTest.java`. `AdviceResolver` is a compact enum with 9 type-specific constants, 1 constructor, and only 2 helper methods (`of` and `toAdvice`), plus one nested `ExitAdviceByteCodeAppender` shared by all constants. Its scope is narrow: select the correct advice implementation by return type and build the corresponding bytecode mapping. The code shows one cohesive responsibility rather than multiple separable responsibilities, so there is no clear evidence of insufficient modularization.</t>
  </si>
  <si>
    <t>`gson/src/main/java/com/google/gson/Gson.java` is a 1547-line class with 47 public methods. It combines several separable responsibilities in one unit: configuration copying (`newBuilder`, constructor setup), adapter registry/lookup (`getAdapter`, `getDelegateAdapter`), JSON tree/string/stream serialization (`toJson*`, `newJsonWriter`), deserialization (`fromJson*`, `newJsonReader`), and cyclic-adapter plumbing (`FutureTypeAdapter`), which is strong evidence of insufficient modularization.</t>
  </si>
  <si>
    <t>Yes. The target file [ByteBuddyAndroidPlugin.java](./byte-buddy-gradle-plugin/android-plugin/src/main/java/net/bytebuddy/build/gradle/android/ByteBuddyAndroidPlugin.java) is 740 lines long and mixes many separable responsibilities: plugin entry-point wiring in `apply`, variant lifecycle handling in `VariantAction`, legacy vs modern AGP runtime classpath resolution in `RuntimeClassPathResolver`, transform parameter setup in `ByteBuddyTransformationConfiguration`, several configuration/attribute actions (`VariantConfigurationConfigurationAction`, `AttributeContainerConfigurationAction`, `AttributeMatchingStrategyConfigurationAction`, `ConfigurationConfigurationAction`), dependency compatibility rules, and transformation dispatching for both legacy and APK 7.4+ paths via `TransformationDispatcher` with multiple helper enums. That concentration of distinct concerns in one class indicates insufficient modularization.</t>
  </si>
  <si>
    <t>Inspected core/src/main/java/com/google/zxing/aztec/encoder/SimpleToken.java, plus Token.java and BinaryShiftToken.java for context. SimpleToken is a very small final helper class: 1 constructor, 2 overridden methods, 2 fields, and about 25 lines of code. Its behavior is tightly focused on storing a token value/bit count and appending those bits, so there is no evidence of excessive size, multiple responsibilities, or low cohesion that would indicate insufficient modularization.</t>
  </si>
  <si>
    <t>Inspected byte-buddy-gradle-plugin/android-plugin/src/main/java/net/bytebuddy/build/gradle/android/ByteBuddyAndroidTaskExtension.java and ByteBuddyAndroidPlugin.java. The target class is 317 lines with 11 fields and 23 methods, but its behavior is tightly focused on one role: a Gradle extension/config holder. Nearly all methods are simple getters/setters plus two overloads of transformation(...) and one configure(ByteBuddyLocalClassesEnhancerTask) method that only copies extension values into a task. I found no separate responsibilities, no complex algorithms, and no evidence of low cohesion or decomposition pressure beyond normal Gradle boilerplate.</t>
  </si>
  <si>
    <t>Inspected src/main/java/org/apache/commons/io/filefilter/SymbolicLinkFileFilter.java and src/test/java/org/apache/commons/io/filefilter/SymbolicLinkFileFilterTest.java. The class is very small and focused: it has one singleton field, two constructors, two accept overrides, and one package-private helper that delegates directly to Files.isSymbolicLink(Path). Its behavior is a single responsibility, symbol-link detection, with no evidence of multiple cohesive concerns, large method count, or low cohesion that would suggest insufficient modularization.</t>
  </si>
  <si>
    <t>Inspected `src/main/java/org/apache/commons/io/file/SimplePathVisitor.java` and `src/main/java/org/apache/commons/io/file/CountingPathVisitor.java`. `SimplePathVisitor.AbstractBuilder` is a very small nested builder with one field (`visitFileFailedFunction`), one getter, one setter, and an empty constructor</t>
  </si>
  <si>
    <t>Insufficient modularization is present. In [MemberSubstitution.java](/data/henrique/detecting_smells_study/codex/data/repositories/raphw/byte-buddy/byte-buddy-dep/src/main/java/net/bytebuddy/asm/MemberSubstitution.java), the `Step` subtree spans roughly lines 1903-7252 inside a 9320-line file and contains many distinct responsibilities: `Resolution`, `Factory`, `OfOriginalExpression`, `Simple`, `ForAssignment`, `ForArgumentSubstitution`, `ForArgumentLoading`, `ForField` with `Read`/`Write`, `ForInvocation`, and `ForDelegation` with its own `Factory` and `OffsetMapping` hierarchy. I also counted 86 nested type declarations and 222 public declarations inside that subtree, which is strong evidence of a large, low-cohesion abstraction that could be split into smaller units.</t>
  </si>
  <si>
    <t>Inspected `byte-buddy-dep/src/main/java/net/bytebuddy/dynamic/scaffold/FieldRegistry.java` (lines 67-88) and `byte-buddy-dep/src/main/java/net/bytebuddy/dynamic/scaffold/TypeWriter.java` (lines 147-208). `FieldRegistry.Compiled` is only a small interface extending `TypeWriter.FieldPool`</t>
  </si>
  <si>
    <t>Inspected src/main/java/org/apache/commons/io/file/Counters.java: BigIntegerCounter is a private static final nested class with one field (BigInteger value) and a small, cohesive set of 8 methods (add, get, getBigInteger, getLong, increment, reset, equals, hashCode, toString) focused only on BigInteger counting. The same file shows parallel single-purpose counter implementations (LongCounter, NoopCounter), and src/test/java/org/apache/commons/io/file/CountersEqualsAndHashCodeTest.java exercises BigIntegerCounter directly for equality/hashCode. The class is small and single-responsibility, so there is no concrete evidence of insufficient modularization.</t>
  </si>
  <si>
    <t>Inspected [ByteCodeElement.java](./byte-buddy-dep/src/main/java/net/bytebuddy/description/ByteCodeElement.java#L134) and [ByteCodeElementTokenListTest.java](./byte-buddy-dep/src/test/java/net/bytebuddy/description/ByteCodeElementTokenListTest.java#L14). `TokenList` is a small nested utility type with one field (`tokens`), two constructors, and only three behaviors (`accept`, `wrap`, `get`, plus `size`), all focused on list wrapping/transformation</t>
  </si>
  <si>
    <t>Inspected `byte-buddy-dep/src/main/java/net/bytebuddy/build/Plugin.java` lines 126-134: `WithPreprocessor` is a nested interface with one extra method (`onPreprocess`) on top of `Plugin`, and its Javadoc describes a single preprocessor concern. I also checked `byte-buddy-dep/src/main/java/net/bytebuddy/build/Plugin.java` lines 5022-5031 and `byte-buddy-dep/src/test/java/net/bytebuddy/build/PluginEngineDefaultTest.java` lines 538-560</t>
  </si>
  <si>
    <t>Inspected `javase/src/main/java/com/google/zxing/client/j2se/EncoderConfig.java` and `javase/src/main/java/com/google/zxing/client/j2se/CommandLineEncoder.java`. `EncoderConfig` is a 63-line final class with 8 fields annotated for JCommander and no methods</t>
  </si>
  <si>
    <t>`jimfs/src/main/java/com/google/common/jimfs/Configuration.java` is 731 lines and mixes several separable concerns: platform presets (`unix/osX/windows/forCurrentPlatform`), path normalization, disk sizing, attribute views/providers/defaults, roots/working-directory validation, feature flags, file-time source, and watch-service settings. The class also contains a nested `Builder` with 15 public mutators/build method, making the API broad rather than cohesive. `jimfs/src/test/java/com/google/common/jimfs/ConfigurationTest.java` exercises these as distinct behaviors, reinforcing that the class aggregates multiple responsibilities and could be split into smaller abstractions.</t>
  </si>
  <si>
    <t>Inspected `byte-buddy-dep/src/main/java/net/bytebuddy/implementation/bytecode/ByteCodeAppender.java` and `byte-buddy-dep/src/test/java/net/bytebuddy/implementation/bytecode/ByteCodeAppenderCompoundTest.java`. `Compound` is a small nested class with only 2 constructors and 1 behavior method (`apply`), about 44 source lines total, and its logic is narrowly focused on composing delegate appenders, flattening nested `Compound` instances, and merging returned sizes. The test covers only this delegation/composition behavior. I found no evidence of excessive size, many public methods, or multiple unrelated responsibilities, so insufficient modularization is not present.</t>
  </si>
  <si>
    <t>Inspected android/src/com/google/zxing/client/android/history/HistoryActivity.java (165 lines) plus supporting android/src/com/google/zxing/client/android/history/HistoryManager.java and HistoryItemAdapter.java. HistoryActivity contains only one private helper and a small set of UI event handlers (onCreate, onResume, onListItemClick, context menu, options menu), while the heavier history persistence/export logic is delegated to HistoryManager and row rendering to HistoryItemAdapter, so the class reads as a cohesive screen controller rather than an under-decomposed multi-responsibility class.</t>
  </si>
  <si>
    <t>Inspected `core/src/main/resources/examples/MegamorphicBypass.java` and the similar `core/src/main/resources/examples/PolymorphismTest.java`. In `MegamorphicBypass.java:9`, `Quarter` is a nested class with a single responsibility and a single method (`deposit()`), no fields, no branching, and no additional behavior</t>
  </si>
  <si>
    <t>Inspected byte-buddy-dep/src/main/java/net/bytebuddy/implementation/attribute/MethodAttributeAppender.java (lines 244-405) and byte-buddy-dep/src/test/java/net/bytebuddy/implementation/attribute/MethodAttributeAppenderExplicitTest.java (lines 45-163). Explicit is about 160 lines with 2 public constructors, 3 static factory helpers, make/apply, and a small nested Target abstraction with only two implementations (method vs parameter)</t>
  </si>
  <si>
    <t>Inspected `byte-buddy-dep/src/main/java/net/bytebuddy/dynamic/scaffold/FieldRegistry.java` and `byte-buddy-dep/src/test/java/net/bytebuddy/dynamic/scaffold/FieldRegistryDefaultTest.java`. `FieldRegistry.Default` is compact and cohesive: it has one state field (`entries`), one public constructor, and only two public operations (`prepend` and `compile`), while the entry/compiled concerns are factored into nested helper classes (`Entry`, `Compiled`, and `Compiled.Entry`) rather than accumulating unrelated responsibilities in the outer class. The test class exercises one focused behavior set for field registration/lookup, which supports a single responsibility rather than insufficient modularization.</t>
  </si>
  <si>
    <t>Inspected `byte-buddy-dep/src/main/java/net/bytebuddy/description/type/TypeDescription.java` around lines 6904-6955. `OfMethodParameter` is a compact nested adapter with one constructor and only three overriding methods (`resolve`, `asErasure`, `getAnnotationReader`)</t>
  </si>
  <si>
    <t>Inspected src/main/java/org/apache/commons/io/input/BoundedReader.java and src/test/java/org/apache/commons/io/input/BoundedReaderTest.java. The class is a small, single-purpose Reader wrapper: 1 constructor and 5 overrides (close, mark, read, read(char[],int,int), reset) across 151 lines, with one target collaborator and state only for enforcing a character limit and mark/reset boundary. The test class exercises only that bounded-read behavior. There is no evidence of multiple responsibilities, broad public API surface, or separable cohesive groups that would indicate insufficient modularization.</t>
  </si>
  <si>
    <t>Inspected `byte-buddy-dep/src/main/java/net/bytebuddy/implementation/InvokeDynamic.java` at lines 2046-2078. `ForClassConstant` is a small nested helper with one private field, one protected constructor, and only two simple methods (`resolve` and `prepare`)</t>
  </si>
  <si>
    <t>Inspected [byte-buddy-benchmark/src/main/java/net/bytebuddy/benchmark/ClassByExtensionBenchmark.java] and [byte-buddy-benchmark/pom.xml]. The underlying benchmark method `benchmarkByteBuddyWithProxyAndReusedDelegatorWithTypePool()` is a single-purpose, thin routine that builds one Byte Buddy subclass and returns one instance</t>
  </si>
  <si>
    <t>Inspected core/src/main/java/com/google/zxing/pdf417/decoder/BarcodeMetadata.java and its main consumer core/src/main/java/com/google/zxing/pdf417/decoder/DetectionResultRowIndicatorColumn.java. BarcodeMetadata is a small immutable value object: 1 constructor, 5 getters, 5 final fields, and only 37 lines of actual class body</t>
  </si>
  <si>
    <t>Inspected `src/main/java/org/apache/commons/io/input/NullReader.java` (356 lines, 11 methods) and `src/test/java/org/apache/commons/io/input/NullReaderTest.java`. The class is cohesive: it consistently implements one null-reader abstraction with shared state (`size`, `position`, `mark`, `eof`) and related behaviors only for construction, EOF handling, mark/reset, read, and skip. The protected hooks (`processChar`, `processChars`) are extension points for the same responsibility, not separate concerns, so the class does not show clear evidence of needing decomposition.</t>
  </si>
  <si>
    <t>Inspected `core/src/main/java/org/adoptopenjdk/jitwatch/model/PackageManager.java`, `core/src/main/java/org/adoptopenjdk/jitwatch/model/JITDataModel.java`, `core/src/main/java/org/adoptopenjdk/jitwatch/treevisitor/TreeVisitor.java`, `core/src/main/java/org/adoptopenjdk/jitwatch/util/HeadlessUtil.java`, and `core/src/test/java/org/adoptopenjdk/jitwatch/test/TestPackageManager.java`. `PackageManager` is a small 143-line class with 3 state fields, 6 public methods, and 1 private helper</t>
  </si>
  <si>
    <t>Inspected `gson/src/main/java/com/google/gson/JsonElement.java` (434 LOC, 21 public methods) plus `JsonPrimitive.java`, `JsonObject.java`, `JsonArray.java`, and `JsonElementTypeAdapter.java`. Although the class is API-heavy, its methods are cohesive: type checks, safe casts, primitive accessors, and `toString()` for one JSON-node abstraction. Most methods are thin one-liners or default `UnsupportedOperationException` hooks, while concrete behavior is split across the final subclasses, so there is no clear evidence of the class being insufficiently modularized.</t>
  </si>
  <si>
    <t>Inspected [byte-buddy-dep/src/main/java/net/bytebuddy/dynamic/loading/ModuleLayerFromSingleClassLoaderDecorator.java](/data/henrique/detecting_smells_study/codex/data/repositories/raphw/byte-buddy/byte-buddy-dep/src/main/java/net/bytebuddy/dynamic/loading/ModuleLayerFromSingleClassLoaderDecorator.java). The nested `ModuleDescriptor` unit is a small proxy interface with only 3 methods (`read`, `name`, `packages`) and a single cohesive responsibility: bridging `java.lang.module.ModuleDescriptor`</t>
  </si>
  <si>
    <t>Inspected `byte-buddy-dep/src/main/java/net/bytebuddy/description/annotation/AnnotationValue.java` (lines 581-651). `Loaded` is a small nested interface with only 4 abstract methods (`getState`, `resolve`, `resolve(Class)`, `represents`) plus a tiny `AbstractBase` helper that only supplies `resolve(Class)` and one `ForUnresolvedProperty` subclass with two fixed methods. This is a focused contract for loaded annotation values, not a heavily branched class with many responsibilities or a large public API.</t>
  </si>
  <si>
    <t>Inspected src/main/java/org/apache/commons/lang3/time/FastDatePrinter.java. PaddedNumberField is a small, cohesive nested helper with only 2 fields (field, size) and 3 methods (constructor, appendTo(Appendable, Calendar), appendTo(Appendable, int), estimateLength) at lines 260-304. Its only responsibility is padded numeric formatting, and selectNumberRule() at lines 1549-1556 uses it only for padding &gt; 2</t>
  </si>
  <si>
    <t>Inspected src/main/java/org/apache/commons/lang3/time/FastDateParser.java. PatternStrategy is a small abstract helper with one field (`Pattern pattern`) and only four methods: two `createPattern` overloads, `isNumber()`, `parse()`, an abstract `setCalendar()`, plus `toString()`. The file shows its responsibilities are shared by three concrete subclasses (`CaseInsensitiveTextStrategy`, `ISO8601TimeZoneStrategy`, `TimeZoneStrategy`), while the subclass-specific parsing and calendar-setting logic lives there, so PatternStrategy itself is not excessively large or multi-responsibility.</t>
  </si>
  <si>
    <t>Inspected byte-buddy-dep/src/main/java/net/bytebuddy/implementation/bytecode/collection/CollectionFactory.java and byte-buddy-dep/src/main/java/net/bytebuddy/implementation/bytecode/collection/ArrayFactory.java. CollectionFactory is a tiny interface with only 2 abstract methods (`getComponentType`, `withValues`) and no fields or implementation logic, so it does not show excessive size or low cohesion. The concrete branching and nested responsibilities are in ArrayFactory, which is the single implementation found in the package, so the complexity is not concentrated in the target class.</t>
  </si>
  <si>
    <t>Inspected src/main/java/org/apache/commons/io/function/IOSupplier.java (66 lines). It is a @FunctionalInterface with exactly one abstract method, T get(), plus only two small default convenience methods, asSupplier() and getUnchecked()</t>
  </si>
  <si>
    <t>In core/src/main/java/org/adoptopenjdk/jitwatch/demo/MakeHotSpotLog.java the class is ~550 lines and contains nearly 40 callable members</t>
  </si>
  <si>
    <t>`src/main/java/org/apache/commons/io/function/IORunnable.java` is a small 56-line `@FunctionalInterface` with one abstract method (`run()`), one default adapter (`asRunnable()`), and one static factory (`noop()`)</t>
  </si>
  <si>
    <t>Inspected javaparser-core/src/main/java/com/github/javaparser/ast/body/AnnotationMemberDeclaration.java and javaparser-core/src/main/java/com/github/javaparser/ast/body/BodyDeclaration.java. The target class is only 301 LOC, has 4 fields (modifiers, type, name, defaultValue), and its public API is almost entirely AST boilerplate: constructors plus generated getters/setters, visitor accept methods, clone/replace/remove, type-casting helpers, and resolve(). It models one coherent AST concept (an annotation member declaration) rather than multiple separable responsibilities</t>
  </si>
  <si>
    <t>Insufficient modularization is present. In [BaseNodeMetaModel.java](/data/henrique/detecting_smells_study/codex/data/repositories/javaparser/javaparser/javaparser-core/src/main/java/com/github/javaparser/metamodel/BaseNodeMetaModel.java) the class is 247 lines long, has 9 fields, and exposes 20 public methods</t>
  </si>
  <si>
    <t>Inspected byte-buddy-dep/src/main/java/net/bytebuddy/implementation/MethodCall.java and byte-buddy-dep/src/test/java/net/bytebuddy/implementation/MethodCallTest.java. OfInvokedMethod is a compact nested class (lines 1421-1467) with one state field and only constructor/prepare/make/resolve methods</t>
  </si>
  <si>
    <t>Inspected `android/src/com/google/zxing/client/android/PreferencesActivity.java`, `android/src/com/google/zxing/client/android/PreferencesFragment.java`, and `android/res/xml/preferences.xml`. `PreferencesActivity` is a thin 72-line host class with only one behavior method (`onCreate`) that swaps in `PreferencesFragment`, plus shared preference key constants</t>
  </si>
  <si>
    <t>Inspected byte-buddy-dep/src/main/java/net/bytebuddy/matcher/CachingMatcher.java, byte-buddy-dep/src/main/java/net/bytebuddy/matcher/ElementMatchers.java, and byte-buddy-dep/src/test/java/net/bytebuddy/matcher/CachingMatcherTest.java. WithInlineEviction is a small nested class with only one field (evictionSize), one constructor, and one overridden method that adds a single eviction check before delegating to the base cache-miss logic</t>
  </si>
  <si>
    <t>Inspected /data/henrique/detecting_smells_study/codex/data/repositories/google/jimfs/jimfs/src/main/java/com/google/common/jimfs/UserLookupService.java, /data/henrique/detecting_smells_study/codex/data/repositories/google/jimfs/jimfs/src/test/java/com/google/common/jimfs/UserLookupServiceTest.java, and its callers in OwnerAttributeProvider.java, PosixAttributeProvider.java, and JimfsFileSystem.java. The class is only 114 lines, has one field, one constructor, two lookup methods, two static factory methods, and three small nested principal classes</t>
  </si>
  <si>
    <t>Inspected `javaparser-core/src/main/java/com/github/javaparser/ast/visitor/VoidVisitorAdapter.java` and found a very large adapter class: 775 lines with 103 `visit(...)` overrides. The class bundles traversal logic for many separate AST areas in one place (declarations, expressions, statements, types, modules, comments), with no fields or helper decomposition, so it is a single abstraction that could reasonably be split into smaller, more cohesive parts.</t>
  </si>
  <si>
    <t>Inspected byte-buddy-dep/src/main/java/net/bytebuddy/asm/MemberSubstitution.java (9320 lines). The source does not declare a direct MemberSubstitution.Resolved type</t>
  </si>
  <si>
    <t>In `byte-buddy-gradle-plugin/src/main/java/net/bytebuddy/build/gradle/ObjectFactory.java`, `ForApi4CapableGradle` is a small nested adapter with only two fields (`getObjects`, `newInstance`), one protected constructor, and one method (`newInstance`) that performs a single reflective call and exception translation. It has one clear responsibility inside the outer dispatcher pattern, so there is no evidence of excessive size, multiple responsibilities, or low cohesion.</t>
  </si>
  <si>
    <t>Inspected `src/main/java/org/apache/commons/lang3/time/FastDatePrinter.java` at the `TwoDigitYearField` declaration (lines 723-758) and its call site in `parsePattern()` (lines 1365-1369). This nested class is `private static final`, has a singleton `INSTANCE`, and only implements three tiny behaviors: format a `Calendar.YEAR` value to two digits, format an int with `% 100`, and report fixed length `2`. It serves one narrow responsibility for `y/Y` patterns and shows no evidence of multiple responsibilities, large method count, or separable concerns, so insufficient modularization is not present.</t>
  </si>
  <si>
    <t>Inspected byte-buddy-benchmark/pom.xml and byte-buddy-benchmark/src/main/java/net/bytebuddy/benchmark/ClassByImplementationBenchmark.java. The module uses JMH annotation processing (jmh-generator-annprocess) and explicitly excludes the generated jmh_generated package, so the target is generated harness code rather than a hand-written class. The underlying benchmarkâ€™s baseline() method is a single self-contained anonymous ExampleInterface implementation, with no evidence of a large multi-responsibility class that could be further split.</t>
  </si>
  <si>
    <t>Inspected `byte-buddy-dep/src/main/java/net/bytebuddy/asm/MemberSubstitution.java` around lines 1455-1503. The inner class `ForElementMatcher` is a narrow helper with 2 fields, 1 protected constructor, and 1 public `resolve(...)` method. Its only responsibility is locating a matching non-static field on the receiver type hierarchy and validating accessibility/ambiguity</t>
  </si>
  <si>
    <t>Inspected gson/src/main/java/com/google/gson/internal/sql/SqlTimeTypeAdapter.java, gson/src/main/java/com/google/gson/internal/sql/SqlTypesSupport.java, and the sibling adapters SqlDateTypeAdapter.java/SqlTimestampTypeAdapter.java. SqlTimeTypeAdapter is a compact 90-line class with one field, one static factory, and only two behavioral methods (`read`/`write`), all centered on java.sql.Time serialization. It does not show excessive size, many public methods, or multiple responsibilities</t>
  </si>
  <si>
    <t>Inspected `javaparser-core/src/main/java/com/github/javaparser/metamodel/EmptyStmtMetaModel.java`, `StatementMetaModel.java`, and `BaseNodeMetaModel.java`. `EmptyStmtMetaModel` is a generated class with no fields and only one package-private constructor (3 lines of logic) that just delegates constants to `StatementMetaModel`</t>
  </si>
  <si>
    <t>Inspected javaparser-symbol-solver-core/src/main/java/com/github/javaparser/symbolsolver/javaparsermodel/declarations/JavaParserEnumDeclaration.java. ValuesMethod is a compact nested adapter (lines 344-432) with a single responsibility: modeling the implicit enum values() method. It has 17 small/interface-driven methods, mostly straightforward metadata accessors or one-line returns/unsupported-operation stubs, no internal branching or multiple domains of logic, and the sibling implicit method valueOf() is already split into a separate nested class in the same file.</t>
  </si>
  <si>
    <t>`src/main/java/org/apache/commons/io/input/ReversedLinesFileReader.java` is 586 lines and mixes several concerns in one type: a nested `Builder`, a nested `FilePart` that handles block loading/newline scanning/rollover, 7 overloaded constructors, and public APIs for `close()`, `iterator()`, `readLine()`, `readLines(int)`, and `toString(int)`. The dedicated tests in `src/test/java/org/apache/commons/io/input/ReversedLinesFileReaderSimpleTest.java`, `ReversedLinesFileReaderParamBlockSizeTest.java`, and `ReversedLinesFileReaderParamFileTest.java` exercise many separate behaviors (encodings, block sizes, line iteration, bulk reads, string formatting, filesystem variants), showing the class bundles multiple responsibilities rather than a single cohesive abstraction.</t>
  </si>
  <si>
    <t>Inspected `javaparser-symbol-solver-testing/src/test/resources/issue1769/foo/OtherClass.java` and found a 3-line class with no fields and no methods, only a single empty nested `InnerClass`. The surrounding `issue1769` resources contain no additional `OtherClass` implementation or evidence of mixed responsibilities, so there is no sign of insufficient modularization.</t>
  </si>
  <si>
    <t>Inspected /data/henrique/detecting_smells_study/codex/data/repositories/raphw/byte-buddy/byte-buddy-dep/src/main/java/net/bytebuddy/implementation/FieldAccessor.java:449-638 and the enclosing API context at lines 50-67 and 644-686. PropertyConfigurable is a cohesive fluent interface for one concern only: configuring field-write behavior, with 14 overloads grouped around setsArgumentAt, setsDefaultValue, setsValue, setsReference, and setsFieldValueOf. It has no state and no unrelated responsibilities</t>
  </si>
  <si>
    <t>TP</t>
  </si>
  <si>
    <t>TN</t>
  </si>
  <si>
    <t>FP</t>
  </si>
  <si>
    <t>FN</t>
  </si>
  <si>
    <t>Pr</t>
  </si>
  <si>
    <t>Rc</t>
  </si>
  <si>
    <t>F1</t>
  </si>
  <si>
    <t>MCC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</si>
</sst>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58A6F-C1FA-46B4-89BF-F6B54FFFB175}">
  <dimension ref="A1:L361"/>
  <sheetViews>
    <sheetView tabSelected="1" topLeftCell="G1" workbookViewId="0">
      <selection activeCell="I7" sqref="I7"/>
    </sheetView>
  </sheetViews>
  <sheetFormatPr defaultRowHeight="15" x14ac:dyDescent="0.25"/>
  <cols>
    <col min="1" max="1" width="18.140625" bestFit="1" customWidth="1"/>
    <col min="2" max="2" width="25.140625" bestFit="1" customWidth="1"/>
    <col min="3" max="3" width="125.5703125" bestFit="1" customWidth="1"/>
    <col min="4" max="4" width="42.140625" bestFit="1" customWidth="1"/>
    <col min="5" max="5" width="133.42578125" bestFit="1" customWidth="1"/>
    <col min="6" max="6" width="198.28515625" bestFit="1" customWidth="1"/>
    <col min="7" max="7" width="14.5703125" style="3" bestFit="1" customWidth="1"/>
    <col min="8" max="9" width="15.5703125" style="3" customWidth="1"/>
    <col min="11" max="11" width="12.140625" bestFit="1" customWidth="1"/>
  </cols>
  <sheetData>
    <row r="1" spans="1:12" x14ac:dyDescent="0.25">
      <c r="A1" s="1" t="s">
        <v>0</v>
      </c>
      <c r="B1" s="1" t="s">
        <v>1</v>
      </c>
      <c r="C1" s="1" t="s">
        <v>2</v>
      </c>
      <c r="D1" s="1" t="s">
        <v>3</v>
      </c>
      <c r="E1" s="1" t="s">
        <v>1283</v>
      </c>
      <c r="F1" s="1" t="s">
        <v>4</v>
      </c>
      <c r="G1" s="2" t="s">
        <v>5</v>
      </c>
      <c r="H1" s="2" t="s">
        <v>1284</v>
      </c>
      <c r="I1" s="2" t="s">
        <v>1285</v>
      </c>
    </row>
    <row r="2" spans="1:12" x14ac:dyDescent="0.25">
      <c r="A2" t="s">
        <v>6</v>
      </c>
      <c r="B2" t="s">
        <v>7</v>
      </c>
      <c r="C2" t="s">
        <v>8</v>
      </c>
      <c r="D2" t="s">
        <v>9</v>
      </c>
      <c r="E2" t="str">
        <f>C2&amp;"."&amp;D2</f>
        <v>com.github.javaparser.symbolsolver.javaparsermodel.contexts.AnonymousClassDeclarationContext</v>
      </c>
      <c r="F2" t="s">
        <v>10</v>
      </c>
      <c r="G2" s="3">
        <v>495</v>
      </c>
      <c r="H2" s="3">
        <v>0</v>
      </c>
      <c r="I2" s="3">
        <f>VLOOKUP(E2,codex!A$1:B$359,2,0)</f>
        <v>0</v>
      </c>
      <c r="K2" t="s">
        <v>1645</v>
      </c>
      <c r="L2">
        <f>COUNTIFS(H2:H361,1,I2:I361,1)</f>
        <v>19</v>
      </c>
    </row>
    <row r="3" spans="1:12" x14ac:dyDescent="0.25">
      <c r="A3" t="s">
        <v>11</v>
      </c>
      <c r="B3" t="s">
        <v>7</v>
      </c>
      <c r="C3" t="s">
        <v>12</v>
      </c>
      <c r="D3" t="s">
        <v>13</v>
      </c>
      <c r="E3" t="str">
        <f t="shared" ref="E3:E66" si="0">C3&amp;"."&amp;D3</f>
        <v>net.bytebuddy.dynamic.DynamicType.Initial</v>
      </c>
      <c r="F3" t="s">
        <v>14</v>
      </c>
      <c r="G3" s="3">
        <v>348</v>
      </c>
      <c r="H3" s="3">
        <v>0</v>
      </c>
      <c r="I3" s="3">
        <f>VLOOKUP(E3,codex!A$1:B$359,2,0)</f>
        <v>0</v>
      </c>
      <c r="K3" t="s">
        <v>1646</v>
      </c>
      <c r="L3">
        <f>COUNTIFS(H2:H361,0,I2:I361,0)</f>
        <v>302</v>
      </c>
    </row>
    <row r="4" spans="1:12" x14ac:dyDescent="0.25">
      <c r="A4" t="s">
        <v>6</v>
      </c>
      <c r="B4" t="s">
        <v>7</v>
      </c>
      <c r="C4" t="s">
        <v>15</v>
      </c>
      <c r="D4" t="s">
        <v>16</v>
      </c>
      <c r="E4" t="str">
        <f t="shared" si="0"/>
        <v>com.packageName.ClassInPackage</v>
      </c>
      <c r="F4" t="s">
        <v>17</v>
      </c>
      <c r="G4" s="3">
        <v>338</v>
      </c>
      <c r="H4" s="3">
        <v>0</v>
      </c>
      <c r="I4" s="3">
        <f>VLOOKUP(E4,codex!A$1:B$359,2,0)</f>
        <v>0</v>
      </c>
      <c r="K4" t="s">
        <v>1647</v>
      </c>
      <c r="L4">
        <f>COUNTIFS(H2:H361,0,I2:I361,1)</f>
        <v>22</v>
      </c>
    </row>
    <row r="5" spans="1:12" x14ac:dyDescent="0.25">
      <c r="A5" t="s">
        <v>11</v>
      </c>
      <c r="B5" t="s">
        <v>7</v>
      </c>
      <c r="C5" t="s">
        <v>18</v>
      </c>
      <c r="D5" t="s">
        <v>19</v>
      </c>
      <c r="E5" t="str">
        <f t="shared" si="0"/>
        <v>net.bytebuddy.description.type.TypeList.Empty</v>
      </c>
      <c r="F5" t="s">
        <v>20</v>
      </c>
      <c r="G5" s="3">
        <v>368</v>
      </c>
      <c r="H5" s="3">
        <v>0</v>
      </c>
      <c r="I5" s="3">
        <f>VLOOKUP(E5,codex!A$1:B$359,2,0)</f>
        <v>0</v>
      </c>
      <c r="K5" t="s">
        <v>1648</v>
      </c>
      <c r="L5">
        <f>COUNTIFS(H2:H361,1,I2:I361,0)</f>
        <v>17</v>
      </c>
    </row>
    <row r="6" spans="1:12" x14ac:dyDescent="0.25">
      <c r="A6" t="s">
        <v>11</v>
      </c>
      <c r="B6" t="s">
        <v>7</v>
      </c>
      <c r="C6" t="s">
        <v>21</v>
      </c>
      <c r="D6" t="s">
        <v>22</v>
      </c>
      <c r="E6" t="str">
        <f t="shared" si="0"/>
        <v>net.bytebuddy.description.type.RecordComponentDescription.InDefinedShape</v>
      </c>
      <c r="F6" t="s">
        <v>23</v>
      </c>
      <c r="G6" s="3">
        <v>355</v>
      </c>
      <c r="H6" s="3">
        <v>0</v>
      </c>
      <c r="I6" s="3">
        <f>VLOOKUP(E6,codex!A$1:B$359,2,0)</f>
        <v>0</v>
      </c>
    </row>
    <row r="7" spans="1:12" x14ac:dyDescent="0.25">
      <c r="A7" t="s">
        <v>24</v>
      </c>
      <c r="B7" t="s">
        <v>7</v>
      </c>
      <c r="C7" t="s">
        <v>25</v>
      </c>
      <c r="D7" t="s">
        <v>26</v>
      </c>
      <c r="E7" t="str">
        <f t="shared" si="0"/>
        <v>org.apache.commons.io.CloseableURLConnection</v>
      </c>
      <c r="F7" t="s">
        <v>27</v>
      </c>
      <c r="G7" s="3">
        <v>327</v>
      </c>
      <c r="H7" s="3">
        <v>1</v>
      </c>
      <c r="I7" s="3">
        <f>VLOOKUP(E7,codex!A$1:B$359,2,0)</f>
        <v>0</v>
      </c>
      <c r="K7" t="s">
        <v>1649</v>
      </c>
      <c r="L7">
        <f>IFERROR(L2/(L2+L4),0)</f>
        <v>0.46341463414634149</v>
      </c>
    </row>
    <row r="8" spans="1:12" x14ac:dyDescent="0.25">
      <c r="A8" t="s">
        <v>11</v>
      </c>
      <c r="B8" t="s">
        <v>7</v>
      </c>
      <c r="C8" t="s">
        <v>28</v>
      </c>
      <c r="D8" t="s">
        <v>29</v>
      </c>
      <c r="E8" t="str">
        <f t="shared" si="0"/>
        <v>net.bytebuddy.implementation.bind.MethodDelegationBinder.Compound</v>
      </c>
      <c r="F8" t="s">
        <v>30</v>
      </c>
      <c r="G8" s="3">
        <v>350</v>
      </c>
      <c r="H8" s="3">
        <v>0</v>
      </c>
      <c r="I8" s="3">
        <f>VLOOKUP(E8,codex!A$1:B$359,2,0)</f>
        <v>0</v>
      </c>
      <c r="K8" t="s">
        <v>1650</v>
      </c>
      <c r="L8">
        <f>IFERROR(L2/(L2+L5),0)</f>
        <v>0.52777777777777779</v>
      </c>
    </row>
    <row r="9" spans="1:12" x14ac:dyDescent="0.25">
      <c r="A9" t="s">
        <v>31</v>
      </c>
      <c r="B9" t="s">
        <v>7</v>
      </c>
      <c r="C9" t="s">
        <v>32</v>
      </c>
      <c r="D9" t="s">
        <v>33</v>
      </c>
      <c r="E9" t="str">
        <f t="shared" si="0"/>
        <v>com.google.zxing.ResultPointCallback</v>
      </c>
      <c r="F9" t="s">
        <v>34</v>
      </c>
      <c r="G9" s="3">
        <v>330</v>
      </c>
      <c r="H9" s="3">
        <v>0</v>
      </c>
      <c r="I9" s="3">
        <f>VLOOKUP(E9,codex!A$1:B$359,2,0)</f>
        <v>0</v>
      </c>
      <c r="K9" t="s">
        <v>1651</v>
      </c>
      <c r="L9">
        <f>IFERROR(2*L7*L8/(L7+L8),0)</f>
        <v>0.4935064935064935</v>
      </c>
    </row>
    <row r="10" spans="1:12" x14ac:dyDescent="0.25">
      <c r="A10" t="s">
        <v>11</v>
      </c>
      <c r="B10" t="s">
        <v>7</v>
      </c>
      <c r="C10" t="s">
        <v>35</v>
      </c>
      <c r="D10" t="s">
        <v>36</v>
      </c>
      <c r="E10" t="str">
        <f t="shared" si="0"/>
        <v>net.bytebuddy.dynamic.scaffold.inline.MethodRebaseResolver</v>
      </c>
      <c r="F10" t="s">
        <v>37</v>
      </c>
      <c r="G10" s="3">
        <v>478</v>
      </c>
      <c r="H10" s="3">
        <v>0</v>
      </c>
      <c r="I10" s="3">
        <f>VLOOKUP(E10,codex!A$1:B$359,2,0)</f>
        <v>1</v>
      </c>
      <c r="K10" t="s">
        <v>1652</v>
      </c>
      <c r="L10">
        <f>IFERROR(((L2*L3)-(L4*L5))/SQRT((L2+L4)*(L2+L5)*(L3+L4)*(L3+L5)),0)</f>
        <v>0.43428791445652565</v>
      </c>
    </row>
    <row r="11" spans="1:12" x14ac:dyDescent="0.25">
      <c r="A11" t="s">
        <v>11</v>
      </c>
      <c r="B11" t="s">
        <v>7</v>
      </c>
      <c r="C11" t="s">
        <v>38</v>
      </c>
      <c r="D11" t="s">
        <v>39</v>
      </c>
      <c r="E11" t="str">
        <f t="shared" si="0"/>
        <v>net.bytebuddy.implementation.bytecode.assign.primitive.PrimitiveUnboxingDelegate.UnboxingResponsible</v>
      </c>
      <c r="F11" t="s">
        <v>40</v>
      </c>
      <c r="G11" s="3">
        <v>370</v>
      </c>
      <c r="H11" s="3">
        <v>0</v>
      </c>
      <c r="I11" s="3">
        <f>VLOOKUP(E11,codex!A$1:B$359,2,0)</f>
        <v>0</v>
      </c>
    </row>
    <row r="12" spans="1:12" x14ac:dyDescent="0.25">
      <c r="A12" t="s">
        <v>41</v>
      </c>
      <c r="B12" t="s">
        <v>7</v>
      </c>
      <c r="C12" t="s">
        <v>42</v>
      </c>
      <c r="D12" t="s">
        <v>43</v>
      </c>
      <c r="E12" t="str">
        <f t="shared" si="0"/>
        <v>(default package).ElisionTest</v>
      </c>
      <c r="F12" t="s">
        <v>44</v>
      </c>
      <c r="G12" s="3">
        <v>320</v>
      </c>
      <c r="H12" s="3">
        <v>0</v>
      </c>
      <c r="I12" s="3">
        <f>VLOOKUP(E12,codex!A$1:B$359,2,0)</f>
        <v>0</v>
      </c>
    </row>
    <row r="13" spans="1:12" x14ac:dyDescent="0.25">
      <c r="A13" t="s">
        <v>11</v>
      </c>
      <c r="B13" t="s">
        <v>7</v>
      </c>
      <c r="C13" t="s">
        <v>45</v>
      </c>
      <c r="D13" t="s">
        <v>46</v>
      </c>
      <c r="E13" t="str">
        <f t="shared" si="0"/>
        <v>net.bytebuddy.NamingStrategy</v>
      </c>
      <c r="F13" t="s">
        <v>47</v>
      </c>
      <c r="G13" s="3">
        <v>387</v>
      </c>
      <c r="H13" s="3">
        <v>0</v>
      </c>
      <c r="I13" s="3">
        <f>VLOOKUP(E13,codex!A$1:B$359,2,0)</f>
        <v>1</v>
      </c>
    </row>
    <row r="14" spans="1:12" x14ac:dyDescent="0.25">
      <c r="A14" t="s">
        <v>11</v>
      </c>
      <c r="B14" t="s">
        <v>7</v>
      </c>
      <c r="C14" t="s">
        <v>48</v>
      </c>
      <c r="D14" t="s">
        <v>49</v>
      </c>
      <c r="E14" t="str">
        <f t="shared" si="0"/>
        <v>net.bytebuddy.implementation.MethodCall.ForConstructingInvocation</v>
      </c>
      <c r="F14" t="s">
        <v>50</v>
      </c>
      <c r="G14" s="3">
        <v>399</v>
      </c>
      <c r="H14" s="3">
        <v>0</v>
      </c>
      <c r="I14" s="3">
        <f>VLOOKUP(E14,codex!A$1:B$359,2,0)</f>
        <v>0</v>
      </c>
    </row>
    <row r="15" spans="1:12" x14ac:dyDescent="0.25">
      <c r="A15" t="s">
        <v>24</v>
      </c>
      <c r="B15" t="s">
        <v>7</v>
      </c>
      <c r="C15" t="s">
        <v>51</v>
      </c>
      <c r="D15" t="s">
        <v>52</v>
      </c>
      <c r="E15" t="str">
        <f t="shared" si="0"/>
        <v>org.apache.commons.io.input.UnsynchronizedReader</v>
      </c>
      <c r="F15" t="s">
        <v>53</v>
      </c>
      <c r="G15" s="3">
        <v>342</v>
      </c>
      <c r="H15" s="3">
        <v>0</v>
      </c>
      <c r="I15" s="3">
        <f>VLOOKUP(E15,codex!A$1:B$359,2,0)</f>
        <v>0</v>
      </c>
    </row>
    <row r="16" spans="1:12" x14ac:dyDescent="0.25">
      <c r="A16" t="s">
        <v>11</v>
      </c>
      <c r="B16" t="s">
        <v>7</v>
      </c>
      <c r="C16" t="s">
        <v>54</v>
      </c>
      <c r="D16" t="s">
        <v>55</v>
      </c>
      <c r="E16" t="str">
        <f t="shared" si="0"/>
        <v>net.bytebuddy.dynamic.scaffold.TypeInitializer</v>
      </c>
      <c r="F16" t="s">
        <v>56</v>
      </c>
      <c r="G16" s="3">
        <v>404</v>
      </c>
      <c r="H16" s="3">
        <v>0</v>
      </c>
      <c r="I16" s="3">
        <f>VLOOKUP(E16,codex!A$1:B$359,2,0)</f>
        <v>0</v>
      </c>
    </row>
    <row r="17" spans="1:9" x14ac:dyDescent="0.25">
      <c r="A17" t="s">
        <v>24</v>
      </c>
      <c r="B17" t="s">
        <v>7</v>
      </c>
      <c r="C17" t="s">
        <v>57</v>
      </c>
      <c r="D17" t="s">
        <v>58</v>
      </c>
      <c r="E17" t="str">
        <f t="shared" si="0"/>
        <v>org.apache.commons.io.input.ObservableInputStream.Builder</v>
      </c>
      <c r="F17" t="s">
        <v>59</v>
      </c>
      <c r="G17" s="3">
        <v>329</v>
      </c>
      <c r="H17" s="3">
        <v>0</v>
      </c>
      <c r="I17" s="3">
        <f>VLOOKUP(E17,codex!A$1:B$359,2,0)</f>
        <v>0</v>
      </c>
    </row>
    <row r="18" spans="1:9" x14ac:dyDescent="0.25">
      <c r="A18" t="s">
        <v>6</v>
      </c>
      <c r="B18" t="s">
        <v>7</v>
      </c>
      <c r="C18" t="s">
        <v>60</v>
      </c>
      <c r="D18" t="s">
        <v>61</v>
      </c>
      <c r="E18" t="str">
        <f t="shared" si="0"/>
        <v>demo.Main.Callback</v>
      </c>
      <c r="F18" t="s">
        <v>62</v>
      </c>
      <c r="G18" s="3">
        <v>350</v>
      </c>
      <c r="H18" s="3">
        <v>0</v>
      </c>
      <c r="I18" s="3">
        <f>VLOOKUP(E18,codex!A$1:B$359,2,0)</f>
        <v>0</v>
      </c>
    </row>
    <row r="19" spans="1:9" x14ac:dyDescent="0.25">
      <c r="A19" t="s">
        <v>31</v>
      </c>
      <c r="B19" t="s">
        <v>7</v>
      </c>
      <c r="C19" t="s">
        <v>63</v>
      </c>
      <c r="D19" t="s">
        <v>64</v>
      </c>
      <c r="E19" t="str">
        <f t="shared" si="0"/>
        <v>com.google.zxing.oned.CodaBarReader</v>
      </c>
      <c r="F19" t="s">
        <v>65</v>
      </c>
      <c r="G19" s="3">
        <v>379</v>
      </c>
      <c r="H19" s="3">
        <v>0</v>
      </c>
      <c r="I19" s="3">
        <f>VLOOKUP(E19,codex!A$1:B$359,2,0)</f>
        <v>0</v>
      </c>
    </row>
    <row r="20" spans="1:9" x14ac:dyDescent="0.25">
      <c r="A20" t="s">
        <v>24</v>
      </c>
      <c r="B20" t="s">
        <v>7</v>
      </c>
      <c r="C20" t="s">
        <v>66</v>
      </c>
      <c r="D20" t="s">
        <v>67</v>
      </c>
      <c r="E20" t="str">
        <f t="shared" si="0"/>
        <v>org.apache.commons.io.output.FileWriterWithEncoding</v>
      </c>
      <c r="F20" t="s">
        <v>68</v>
      </c>
      <c r="G20" s="3">
        <v>355</v>
      </c>
      <c r="H20" s="3">
        <v>0</v>
      </c>
      <c r="I20" s="3">
        <f>VLOOKUP(E20,codex!A$1:B$359,2,0)</f>
        <v>0</v>
      </c>
    </row>
    <row r="21" spans="1:9" x14ac:dyDescent="0.25">
      <c r="A21" t="s">
        <v>11</v>
      </c>
      <c r="B21" t="s">
        <v>7</v>
      </c>
      <c r="C21" t="s">
        <v>69</v>
      </c>
      <c r="D21" t="s">
        <v>70</v>
      </c>
      <c r="E21" t="str">
        <f t="shared" si="0"/>
        <v>net.bytebuddy.implementation.ToStringMethod.ForFixedValue</v>
      </c>
      <c r="F21" t="s">
        <v>71</v>
      </c>
      <c r="G21" s="3">
        <v>346</v>
      </c>
      <c r="H21" s="3">
        <v>0</v>
      </c>
      <c r="I21" s="3">
        <f>VLOOKUP(E21,codex!A$1:B$359,2,0)</f>
        <v>0</v>
      </c>
    </row>
    <row r="22" spans="1:9" x14ac:dyDescent="0.25">
      <c r="A22" t="s">
        <v>11</v>
      </c>
      <c r="B22" t="s">
        <v>7</v>
      </c>
      <c r="C22" t="s">
        <v>72</v>
      </c>
      <c r="D22" t="s">
        <v>73</v>
      </c>
      <c r="E22" t="str">
        <f t="shared" si="0"/>
        <v>net.bytebuddy.dynamic.NexusAccessor.Available</v>
      </c>
      <c r="F22" t="s">
        <v>74</v>
      </c>
      <c r="G22" s="3">
        <v>343</v>
      </c>
      <c r="H22" s="3">
        <v>0</v>
      </c>
      <c r="I22" s="3">
        <f>VLOOKUP(E22,codex!A$1:B$359,2,0)</f>
        <v>0</v>
      </c>
    </row>
    <row r="23" spans="1:9" x14ac:dyDescent="0.25">
      <c r="A23" t="s">
        <v>75</v>
      </c>
      <c r="B23" t="s">
        <v>7</v>
      </c>
      <c r="C23" t="s">
        <v>76</v>
      </c>
      <c r="D23" t="s">
        <v>77</v>
      </c>
      <c r="E23" t="str">
        <f t="shared" si="0"/>
        <v>com.google.common.jimfs.BasicAttributeProvider.View</v>
      </c>
      <c r="F23" t="s">
        <v>78</v>
      </c>
      <c r="G23" s="3">
        <v>332</v>
      </c>
      <c r="H23" s="3">
        <v>0</v>
      </c>
      <c r="I23" s="3">
        <f>VLOOKUP(E23,codex!A$1:B$359,2,0)</f>
        <v>0</v>
      </c>
    </row>
    <row r="24" spans="1:9" x14ac:dyDescent="0.25">
      <c r="A24" t="s">
        <v>31</v>
      </c>
      <c r="B24" t="s">
        <v>7</v>
      </c>
      <c r="C24" t="s">
        <v>79</v>
      </c>
      <c r="D24" t="s">
        <v>80</v>
      </c>
      <c r="E24" t="str">
        <f t="shared" si="0"/>
        <v>com.google.zxing.qrcode.decoder.BitMatrixParser</v>
      </c>
      <c r="F24" t="s">
        <v>81</v>
      </c>
      <c r="G24" s="3">
        <v>378</v>
      </c>
      <c r="H24" s="3">
        <v>0</v>
      </c>
      <c r="I24" s="3">
        <f>VLOOKUP(E24,codex!A$1:B$359,2,0)</f>
        <v>1</v>
      </c>
    </row>
    <row r="25" spans="1:9" x14ac:dyDescent="0.25">
      <c r="A25" t="s">
        <v>24</v>
      </c>
      <c r="B25" t="s">
        <v>7</v>
      </c>
      <c r="C25" t="s">
        <v>82</v>
      </c>
      <c r="D25" t="s">
        <v>83</v>
      </c>
      <c r="E25" t="str">
        <f t="shared" si="0"/>
        <v>org.apache.commons.io.file.CountingPathVisitor</v>
      </c>
      <c r="F25" t="s">
        <v>84</v>
      </c>
      <c r="G25" s="3">
        <v>399</v>
      </c>
      <c r="H25" s="3">
        <v>0</v>
      </c>
      <c r="I25" s="3">
        <f>VLOOKUP(E25,codex!A$1:B$359,2,0)</f>
        <v>0</v>
      </c>
    </row>
    <row r="26" spans="1:9" x14ac:dyDescent="0.25">
      <c r="A26" t="s">
        <v>85</v>
      </c>
      <c r="B26" t="s">
        <v>7</v>
      </c>
      <c r="C26" t="s">
        <v>86</v>
      </c>
      <c r="D26" t="s">
        <v>87</v>
      </c>
      <c r="E26" t="str">
        <f t="shared" si="0"/>
        <v>com.google.gson.internal.bind.CollectionTypeAdapterFactory.Adapter</v>
      </c>
      <c r="F26" t="s">
        <v>88</v>
      </c>
      <c r="G26" s="3">
        <v>353</v>
      </c>
      <c r="H26" s="3">
        <v>0</v>
      </c>
      <c r="I26" s="3">
        <f>VLOOKUP(E26,codex!A$1:B$359,2,0)</f>
        <v>0</v>
      </c>
    </row>
    <row r="27" spans="1:9" x14ac:dyDescent="0.25">
      <c r="A27" t="s">
        <v>89</v>
      </c>
      <c r="B27" t="s">
        <v>7</v>
      </c>
      <c r="C27" t="s">
        <v>90</v>
      </c>
      <c r="D27" t="s">
        <v>91</v>
      </c>
      <c r="E27" t="str">
        <f t="shared" si="0"/>
        <v>org.apache.commons.lang3.compare.ComparableUtils</v>
      </c>
      <c r="F27" t="s">
        <v>92</v>
      </c>
      <c r="G27" s="3">
        <v>341</v>
      </c>
      <c r="H27" s="3">
        <v>0</v>
      </c>
      <c r="I27" s="3">
        <f>VLOOKUP(E27,codex!A$1:B$359,2,0)</f>
        <v>0</v>
      </c>
    </row>
    <row r="28" spans="1:9" x14ac:dyDescent="0.25">
      <c r="A28" t="s">
        <v>31</v>
      </c>
      <c r="B28" t="s">
        <v>7</v>
      </c>
      <c r="C28" t="s">
        <v>93</v>
      </c>
      <c r="D28" t="s">
        <v>94</v>
      </c>
      <c r="E28" t="str">
        <f t="shared" si="0"/>
        <v>com.google.zxing.client.android.Intents</v>
      </c>
      <c r="F28" t="s">
        <v>95</v>
      </c>
      <c r="G28" s="3">
        <v>324</v>
      </c>
      <c r="H28" s="3">
        <v>0</v>
      </c>
      <c r="I28" s="3">
        <f>VLOOKUP(E28,codex!A$1:B$359,2,0)</f>
        <v>0</v>
      </c>
    </row>
    <row r="29" spans="1:9" x14ac:dyDescent="0.25">
      <c r="A29" t="s">
        <v>89</v>
      </c>
      <c r="B29" t="s">
        <v>7</v>
      </c>
      <c r="C29" t="s">
        <v>96</v>
      </c>
      <c r="D29" t="s">
        <v>97</v>
      </c>
      <c r="E29" t="str">
        <f t="shared" si="0"/>
        <v>org.apache.commons.lang3.concurrent.CallableBackgroundInitializer</v>
      </c>
      <c r="F29" t="s">
        <v>98</v>
      </c>
      <c r="G29" s="3">
        <v>330</v>
      </c>
      <c r="H29" s="3">
        <v>0</v>
      </c>
      <c r="I29" s="3">
        <f>VLOOKUP(E29,codex!A$1:B$359,2,0)</f>
        <v>0</v>
      </c>
    </row>
    <row r="30" spans="1:9" x14ac:dyDescent="0.25">
      <c r="A30" t="s">
        <v>11</v>
      </c>
      <c r="B30" t="s">
        <v>7</v>
      </c>
      <c r="C30" t="s">
        <v>99</v>
      </c>
      <c r="D30" t="s">
        <v>100</v>
      </c>
      <c r="E30" t="str">
        <f t="shared" si="0"/>
        <v>net.bytebuddy.asm.AsmVisitorWrapper.NoOp</v>
      </c>
      <c r="F30" t="s">
        <v>101</v>
      </c>
      <c r="G30" s="3">
        <v>351</v>
      </c>
      <c r="H30" s="3">
        <v>0</v>
      </c>
      <c r="I30" s="3">
        <f>VLOOKUP(E30,codex!A$1:B$359,2,0)</f>
        <v>0</v>
      </c>
    </row>
    <row r="31" spans="1:9" x14ac:dyDescent="0.25">
      <c r="A31" t="s">
        <v>41</v>
      </c>
      <c r="B31" t="s">
        <v>7</v>
      </c>
      <c r="C31" t="s">
        <v>102</v>
      </c>
      <c r="D31" t="s">
        <v>103</v>
      </c>
      <c r="E31" t="str">
        <f t="shared" si="0"/>
        <v>org.adoptopenjdk.jitwatch.toplist.AbstractTopListVisitable</v>
      </c>
      <c r="F31" t="s">
        <v>104</v>
      </c>
      <c r="G31" s="3">
        <v>427</v>
      </c>
      <c r="H31" s="3">
        <v>0</v>
      </c>
      <c r="I31" s="3">
        <f>VLOOKUP(E31,codex!A$1:B$359,2,0)</f>
        <v>0</v>
      </c>
    </row>
    <row r="32" spans="1:9" x14ac:dyDescent="0.25">
      <c r="A32" t="s">
        <v>11</v>
      </c>
      <c r="B32" t="s">
        <v>7</v>
      </c>
      <c r="C32" t="s">
        <v>105</v>
      </c>
      <c r="D32" t="s">
        <v>106</v>
      </c>
      <c r="E32" t="str">
        <f t="shared" si="0"/>
        <v>net.bytebuddy.description.modifier.FieldManifestation</v>
      </c>
      <c r="F32" t="s">
        <v>107</v>
      </c>
      <c r="G32" s="3">
        <v>351</v>
      </c>
      <c r="H32" s="3">
        <v>0</v>
      </c>
      <c r="I32" s="3">
        <f>VLOOKUP(E32,codex!A$1:B$359,2,0)</f>
        <v>0</v>
      </c>
    </row>
    <row r="33" spans="1:9" x14ac:dyDescent="0.25">
      <c r="A33" t="s">
        <v>11</v>
      </c>
      <c r="B33" t="s">
        <v>7</v>
      </c>
      <c r="C33" t="s">
        <v>108</v>
      </c>
      <c r="D33" t="s">
        <v>109</v>
      </c>
      <c r="E33" t="str">
        <f t="shared" si="0"/>
        <v>net.bytebuddy.description.method.ParameterList.OfMethod</v>
      </c>
      <c r="F33" t="s">
        <v>110</v>
      </c>
      <c r="G33" s="3">
        <v>343</v>
      </c>
      <c r="H33" s="3">
        <v>0</v>
      </c>
      <c r="I33" s="3">
        <f>VLOOKUP(E33,codex!A$1:B$359,2,0)</f>
        <v>0</v>
      </c>
    </row>
    <row r="34" spans="1:9" x14ac:dyDescent="0.25">
      <c r="A34" t="s">
        <v>11</v>
      </c>
      <c r="B34" t="s">
        <v>7</v>
      </c>
      <c r="C34" t="s">
        <v>111</v>
      </c>
      <c r="D34" t="s">
        <v>112</v>
      </c>
      <c r="E34" t="str">
        <f t="shared" si="0"/>
        <v>net.bytebuddy.benchmark.jmh.generated.SuperClassInvocationBenchmark.benchmarkByteBuddyWithPrefix.jmhTest</v>
      </c>
      <c r="F34" t="s">
        <v>113</v>
      </c>
      <c r="G34" s="3">
        <v>4528</v>
      </c>
      <c r="H34" s="3">
        <v>0</v>
      </c>
      <c r="I34" s="3">
        <f>VLOOKUP(E34,codex!A$1:B$359,2,0)</f>
        <v>0</v>
      </c>
    </row>
    <row r="35" spans="1:9" x14ac:dyDescent="0.25">
      <c r="A35" t="s">
        <v>31</v>
      </c>
      <c r="B35" t="s">
        <v>7</v>
      </c>
      <c r="C35" t="s">
        <v>114</v>
      </c>
      <c r="D35" t="s">
        <v>115</v>
      </c>
      <c r="E35" t="str">
        <f t="shared" si="0"/>
        <v>com.google.zxing.oned.rss.expanded.decoders.AI013103decoder</v>
      </c>
      <c r="F35" t="s">
        <v>116</v>
      </c>
      <c r="G35" s="3">
        <v>350</v>
      </c>
      <c r="H35" s="3">
        <v>0</v>
      </c>
      <c r="I35" s="3">
        <f>VLOOKUP(E35,codex!A$1:B$359,2,0)</f>
        <v>0</v>
      </c>
    </row>
    <row r="36" spans="1:9" x14ac:dyDescent="0.25">
      <c r="A36" t="s">
        <v>6</v>
      </c>
      <c r="B36" t="s">
        <v>7</v>
      </c>
      <c r="C36" t="s">
        <v>117</v>
      </c>
      <c r="D36" t="s">
        <v>118</v>
      </c>
      <c r="E36" t="str">
        <f t="shared" si="0"/>
        <v>com.github.javaparser.symbolsolver.utils.FileUtils</v>
      </c>
      <c r="F36" t="s">
        <v>119</v>
      </c>
      <c r="G36" s="3">
        <v>340</v>
      </c>
      <c r="H36" s="3">
        <v>0</v>
      </c>
      <c r="I36" s="3">
        <f>VLOOKUP(E36,codex!A$1:B$359,2,0)</f>
        <v>0</v>
      </c>
    </row>
    <row r="37" spans="1:9" x14ac:dyDescent="0.25">
      <c r="A37" t="s">
        <v>89</v>
      </c>
      <c r="B37" t="s">
        <v>7</v>
      </c>
      <c r="C37" t="s">
        <v>120</v>
      </c>
      <c r="D37" t="s">
        <v>121</v>
      </c>
      <c r="E37" t="str">
        <f t="shared" si="0"/>
        <v>org.apache.commons.lang3.event.EventListenerSupport</v>
      </c>
      <c r="F37" t="s">
        <v>122</v>
      </c>
      <c r="G37" s="3">
        <v>342</v>
      </c>
      <c r="H37" s="3">
        <v>0</v>
      </c>
      <c r="I37" s="3">
        <f>VLOOKUP(E37,codex!A$1:B$359,2,0)</f>
        <v>0</v>
      </c>
    </row>
    <row r="38" spans="1:9" x14ac:dyDescent="0.25">
      <c r="A38" t="s">
        <v>89</v>
      </c>
      <c r="B38" t="s">
        <v>7</v>
      </c>
      <c r="C38" t="s">
        <v>123</v>
      </c>
      <c r="D38" t="s">
        <v>124</v>
      </c>
      <c r="E38" t="str">
        <f t="shared" si="0"/>
        <v>org.apache.commons.lang3.Strings.CsStrings</v>
      </c>
      <c r="F38" t="s">
        <v>125</v>
      </c>
      <c r="G38" s="3">
        <v>326</v>
      </c>
      <c r="H38" s="3">
        <v>0</v>
      </c>
      <c r="I38" s="3">
        <f>VLOOKUP(E38,codex!A$1:B$359,2,0)</f>
        <v>0</v>
      </c>
    </row>
    <row r="39" spans="1:9" x14ac:dyDescent="0.25">
      <c r="A39" t="s">
        <v>31</v>
      </c>
      <c r="B39" t="s">
        <v>7</v>
      </c>
      <c r="C39" t="s">
        <v>126</v>
      </c>
      <c r="D39" t="s">
        <v>127</v>
      </c>
      <c r="E39" t="str">
        <f t="shared" si="0"/>
        <v>com.google.zxing.web.OutputUtils</v>
      </c>
      <c r="F39" t="s">
        <v>128</v>
      </c>
      <c r="G39" s="3">
        <v>331</v>
      </c>
      <c r="H39" s="3">
        <v>0</v>
      </c>
      <c r="I39" s="3">
        <f>VLOOKUP(E39,codex!A$1:B$359,2,0)</f>
        <v>0</v>
      </c>
    </row>
    <row r="40" spans="1:9" x14ac:dyDescent="0.25">
      <c r="A40" t="s">
        <v>11</v>
      </c>
      <c r="B40" t="s">
        <v>7</v>
      </c>
      <c r="C40" t="s">
        <v>129</v>
      </c>
      <c r="D40" t="s">
        <v>130</v>
      </c>
      <c r="E40" t="str">
        <f t="shared" si="0"/>
        <v>net.bytebuddy.asm.MemberSubstitution.Dispatcher</v>
      </c>
      <c r="F40" t="s">
        <v>131</v>
      </c>
      <c r="G40" s="3">
        <v>394</v>
      </c>
      <c r="H40" s="3">
        <v>0</v>
      </c>
      <c r="I40" s="3">
        <f>VLOOKUP(E40,codex!A$1:B$359,2,0)</f>
        <v>0</v>
      </c>
    </row>
    <row r="41" spans="1:9" x14ac:dyDescent="0.25">
      <c r="A41" t="s">
        <v>11</v>
      </c>
      <c r="B41" t="s">
        <v>7</v>
      </c>
      <c r="C41" t="s">
        <v>132</v>
      </c>
      <c r="D41" t="s">
        <v>133</v>
      </c>
      <c r="E41" t="str">
        <f t="shared" si="0"/>
        <v>net.bytebuddy.implementation.bytecode.member.Invokedynamic</v>
      </c>
      <c r="F41" t="s">
        <v>134</v>
      </c>
      <c r="G41" s="3">
        <v>392</v>
      </c>
      <c r="H41" s="3">
        <v>0</v>
      </c>
      <c r="I41" s="3">
        <f>VLOOKUP(E41,codex!A$1:B$359,2,0)</f>
        <v>0</v>
      </c>
    </row>
    <row r="42" spans="1:9" x14ac:dyDescent="0.25">
      <c r="A42" t="s">
        <v>11</v>
      </c>
      <c r="B42" t="s">
        <v>7</v>
      </c>
      <c r="C42" t="s">
        <v>108</v>
      </c>
      <c r="D42" t="s">
        <v>135</v>
      </c>
      <c r="E42" t="str">
        <f t="shared" si="0"/>
        <v>net.bytebuddy.description.method.ParameterList.OfLegacyVmMethod</v>
      </c>
      <c r="F42" t="s">
        <v>136</v>
      </c>
      <c r="G42" s="3">
        <v>354</v>
      </c>
      <c r="H42" s="3">
        <v>0</v>
      </c>
      <c r="I42" s="3">
        <f>VLOOKUP(E42,codex!A$1:B$359,2,0)</f>
        <v>0</v>
      </c>
    </row>
    <row r="43" spans="1:9" x14ac:dyDescent="0.25">
      <c r="A43" t="s">
        <v>6</v>
      </c>
      <c r="B43" t="s">
        <v>7</v>
      </c>
      <c r="C43" t="s">
        <v>137</v>
      </c>
      <c r="D43" t="s">
        <v>138</v>
      </c>
      <c r="E43" t="str">
        <f t="shared" si="0"/>
        <v>com.github.javaparser.utils.ParserCollectionStrategy</v>
      </c>
      <c r="F43" t="s">
        <v>139</v>
      </c>
      <c r="G43" s="3">
        <v>357</v>
      </c>
      <c r="H43" s="3">
        <v>0</v>
      </c>
      <c r="I43" s="3">
        <f>VLOOKUP(E43,codex!A$1:B$359,2,0)</f>
        <v>0</v>
      </c>
    </row>
    <row r="44" spans="1:9" x14ac:dyDescent="0.25">
      <c r="A44" t="s">
        <v>11</v>
      </c>
      <c r="B44" t="s">
        <v>7</v>
      </c>
      <c r="C44" t="s">
        <v>140</v>
      </c>
      <c r="D44" t="s">
        <v>141</v>
      </c>
      <c r="E44" t="str">
        <f t="shared" si="0"/>
        <v>org.gradle.api.tasks.PathSensitivity</v>
      </c>
      <c r="F44" t="s">
        <v>142</v>
      </c>
      <c r="G44" s="3">
        <v>335</v>
      </c>
      <c r="H44" s="3">
        <v>0</v>
      </c>
      <c r="I44" s="3">
        <f>VLOOKUP(E44,codex!A$1:B$359,2,0)</f>
        <v>0</v>
      </c>
    </row>
    <row r="45" spans="1:9" x14ac:dyDescent="0.25">
      <c r="A45" t="s">
        <v>24</v>
      </c>
      <c r="B45" t="s">
        <v>7</v>
      </c>
      <c r="C45" t="s">
        <v>51</v>
      </c>
      <c r="D45" t="s">
        <v>143</v>
      </c>
      <c r="E45" t="str">
        <f t="shared" si="0"/>
        <v>org.apache.commons.io.input.UncheckedFilterReader</v>
      </c>
      <c r="F45" t="s">
        <v>144</v>
      </c>
      <c r="G45" s="3">
        <v>347</v>
      </c>
      <c r="H45" s="3">
        <v>0</v>
      </c>
      <c r="I45" s="3">
        <f>VLOOKUP(E45,codex!A$1:B$359,2,0)</f>
        <v>0</v>
      </c>
    </row>
    <row r="46" spans="1:9" x14ac:dyDescent="0.25">
      <c r="A46" t="s">
        <v>11</v>
      </c>
      <c r="B46" t="s">
        <v>7</v>
      </c>
      <c r="C46" t="s">
        <v>145</v>
      </c>
      <c r="D46" t="s">
        <v>146</v>
      </c>
      <c r="E46" t="str">
        <f t="shared" si="0"/>
        <v>net.bytebuddy.implementation.auxiliary.TypeProxy.MethodCall</v>
      </c>
      <c r="F46" t="s">
        <v>147</v>
      </c>
      <c r="G46" s="3">
        <v>398</v>
      </c>
      <c r="H46" s="3">
        <v>0</v>
      </c>
      <c r="I46" s="3">
        <f>VLOOKUP(E46,codex!A$1:B$359,2,0)</f>
        <v>0</v>
      </c>
    </row>
    <row r="47" spans="1:9" x14ac:dyDescent="0.25">
      <c r="A47" t="s">
        <v>148</v>
      </c>
      <c r="B47" t="s">
        <v>7</v>
      </c>
      <c r="C47" t="s">
        <v>149</v>
      </c>
      <c r="D47" t="s">
        <v>150</v>
      </c>
      <c r="E47" t="str">
        <f t="shared" si="0"/>
        <v>org.jsoup.helper.AuthenticationHandler.AuthShim</v>
      </c>
      <c r="F47" t="s">
        <v>151</v>
      </c>
      <c r="G47" s="3">
        <v>322</v>
      </c>
      <c r="H47" s="3">
        <v>0</v>
      </c>
      <c r="I47" s="3">
        <f>VLOOKUP(E47,codex!A$1:B$359,2,0)</f>
        <v>0</v>
      </c>
    </row>
    <row r="48" spans="1:9" x14ac:dyDescent="0.25">
      <c r="A48" t="s">
        <v>11</v>
      </c>
      <c r="B48" t="s">
        <v>7</v>
      </c>
      <c r="C48" t="s">
        <v>152</v>
      </c>
      <c r="D48" t="s">
        <v>153</v>
      </c>
      <c r="E48" t="str">
        <f t="shared" si="0"/>
        <v>net.bytebuddy.implementation.InvokeDynamic.ForIntegerConstant</v>
      </c>
      <c r="F48" t="s">
        <v>154</v>
      </c>
      <c r="G48" s="3">
        <v>365</v>
      </c>
      <c r="H48" s="3">
        <v>0</v>
      </c>
      <c r="I48" s="3">
        <f>VLOOKUP(E48,codex!A$1:B$359,2,0)</f>
        <v>0</v>
      </c>
    </row>
    <row r="49" spans="1:9" x14ac:dyDescent="0.25">
      <c r="A49" t="s">
        <v>6</v>
      </c>
      <c r="B49" t="s">
        <v>7</v>
      </c>
      <c r="C49" t="s">
        <v>155</v>
      </c>
      <c r="D49" t="s">
        <v>156</v>
      </c>
      <c r="E49" t="str">
        <f t="shared" si="0"/>
        <v>com.github.javaparser.resolution.logic.ConstructorResolutionLogic</v>
      </c>
      <c r="F49" t="s">
        <v>157</v>
      </c>
      <c r="G49" s="3">
        <v>402</v>
      </c>
      <c r="H49" s="3">
        <v>0</v>
      </c>
      <c r="I49" s="3">
        <f>VLOOKUP(E49,codex!A$1:B$359,2,0)</f>
        <v>0</v>
      </c>
    </row>
    <row r="50" spans="1:9" x14ac:dyDescent="0.25">
      <c r="A50" t="s">
        <v>6</v>
      </c>
      <c r="B50" t="s">
        <v>7</v>
      </c>
      <c r="C50" t="s">
        <v>158</v>
      </c>
      <c r="D50" t="s">
        <v>159</v>
      </c>
      <c r="E50" t="str">
        <f t="shared" si="0"/>
        <v>com.github.javaparser.ast.modules.ModuleOpensDirective</v>
      </c>
      <c r="F50" t="s">
        <v>160</v>
      </c>
      <c r="G50" s="3">
        <v>443</v>
      </c>
      <c r="H50" s="3">
        <v>1</v>
      </c>
      <c r="I50" s="3">
        <f>VLOOKUP(E50,codex!A$1:B$359,2,0)</f>
        <v>0</v>
      </c>
    </row>
    <row r="51" spans="1:9" x14ac:dyDescent="0.25">
      <c r="A51" t="s">
        <v>11</v>
      </c>
      <c r="B51" t="s">
        <v>7</v>
      </c>
      <c r="C51" t="s">
        <v>161</v>
      </c>
      <c r="D51" t="s">
        <v>162</v>
      </c>
      <c r="E51" t="str">
        <f t="shared" si="0"/>
        <v>net.bytebuddy.matcher.LatentMatcher.ForRecordComponentToken</v>
      </c>
      <c r="F51" t="s">
        <v>163</v>
      </c>
      <c r="G51" s="3">
        <v>356</v>
      </c>
      <c r="H51" s="3">
        <v>0</v>
      </c>
      <c r="I51" s="3">
        <f>VLOOKUP(E51,codex!A$1:B$359,2,0)</f>
        <v>0</v>
      </c>
    </row>
    <row r="52" spans="1:9" x14ac:dyDescent="0.25">
      <c r="A52" t="s">
        <v>11</v>
      </c>
      <c r="B52" t="s">
        <v>7</v>
      </c>
      <c r="C52" t="s">
        <v>12</v>
      </c>
      <c r="D52" t="s">
        <v>164</v>
      </c>
      <c r="E52" t="str">
        <f t="shared" si="0"/>
        <v>net.bytebuddy.dynamic.DynamicType.Unloaded</v>
      </c>
      <c r="F52" t="s">
        <v>165</v>
      </c>
      <c r="G52" s="3">
        <v>380</v>
      </c>
      <c r="H52" s="3">
        <v>0</v>
      </c>
      <c r="I52" s="3">
        <f>VLOOKUP(E52,codex!A$1:B$359,2,0)</f>
        <v>0</v>
      </c>
    </row>
    <row r="53" spans="1:9" x14ac:dyDescent="0.25">
      <c r="A53" t="s">
        <v>11</v>
      </c>
      <c r="B53" t="s">
        <v>7</v>
      </c>
      <c r="C53" t="s">
        <v>145</v>
      </c>
      <c r="D53" t="s">
        <v>166</v>
      </c>
      <c r="E53" t="str">
        <f t="shared" si="0"/>
        <v>net.bytebuddy.implementation.auxiliary.TypeProxy.SilentConstruction</v>
      </c>
      <c r="F53" t="s">
        <v>167</v>
      </c>
      <c r="G53" s="3">
        <v>359</v>
      </c>
      <c r="H53" s="3">
        <v>0</v>
      </c>
      <c r="I53" s="3">
        <f>VLOOKUP(E53,codex!A$1:B$359,2,0)</f>
        <v>0</v>
      </c>
    </row>
    <row r="54" spans="1:9" x14ac:dyDescent="0.25">
      <c r="A54" t="s">
        <v>168</v>
      </c>
      <c r="B54" t="s">
        <v>7</v>
      </c>
      <c r="C54" t="s">
        <v>169</v>
      </c>
      <c r="D54" t="s">
        <v>170</v>
      </c>
      <c r="E54" t="str">
        <f t="shared" si="0"/>
        <v>com.google.googlejavaformat.java.JavacTokens.AccessibleScanner</v>
      </c>
      <c r="F54" t="s">
        <v>171</v>
      </c>
      <c r="G54" s="3">
        <v>333</v>
      </c>
      <c r="H54" s="3">
        <v>0</v>
      </c>
      <c r="I54" s="3">
        <f>VLOOKUP(E54,codex!A$1:B$359,2,0)</f>
        <v>0</v>
      </c>
    </row>
    <row r="55" spans="1:9" x14ac:dyDescent="0.25">
      <c r="A55" t="s">
        <v>6</v>
      </c>
      <c r="B55" t="s">
        <v>7</v>
      </c>
      <c r="C55" t="s">
        <v>172</v>
      </c>
      <c r="D55" t="s">
        <v>173</v>
      </c>
      <c r="E55" t="str">
        <f t="shared" si="0"/>
        <v>com.github.javaparser.ast.body.ConstructorDeclaration</v>
      </c>
      <c r="F55" t="s">
        <v>174</v>
      </c>
      <c r="G55" s="3">
        <v>524</v>
      </c>
      <c r="H55" s="3">
        <v>1</v>
      </c>
      <c r="I55" s="3">
        <f>VLOOKUP(E55,codex!A$1:B$359,2,0)</f>
        <v>0</v>
      </c>
    </row>
    <row r="56" spans="1:9" x14ac:dyDescent="0.25">
      <c r="A56" t="s">
        <v>89</v>
      </c>
      <c r="B56" t="s">
        <v>7</v>
      </c>
      <c r="C56" t="s">
        <v>175</v>
      </c>
      <c r="D56" t="s">
        <v>176</v>
      </c>
      <c r="E56" t="str">
        <f t="shared" si="0"/>
        <v>org.apache.commons.lang3.concurrent.EventCountCircuitBreaker.CheckIntervalData</v>
      </c>
      <c r="F56" t="s">
        <v>177</v>
      </c>
      <c r="G56" s="3">
        <v>334</v>
      </c>
      <c r="H56" s="3">
        <v>0</v>
      </c>
      <c r="I56" s="3">
        <f>VLOOKUP(E56,codex!A$1:B$359,2,0)</f>
        <v>0</v>
      </c>
    </row>
    <row r="57" spans="1:9" x14ac:dyDescent="0.25">
      <c r="A57" t="s">
        <v>11</v>
      </c>
      <c r="B57" t="s">
        <v>7</v>
      </c>
      <c r="C57" t="s">
        <v>178</v>
      </c>
      <c r="D57" t="s">
        <v>179</v>
      </c>
      <c r="E57" t="str">
        <f t="shared" si="0"/>
        <v>net.bytebuddy.description.annotation.AnnotationValue.PropertyDelegate</v>
      </c>
      <c r="F57" t="s">
        <v>180</v>
      </c>
      <c r="G57" s="3">
        <v>336</v>
      </c>
      <c r="H57" s="3">
        <v>0</v>
      </c>
      <c r="I57" s="3">
        <f>VLOOKUP(E57,codex!A$1:B$359,2,0)</f>
        <v>0</v>
      </c>
    </row>
    <row r="58" spans="1:9" x14ac:dyDescent="0.25">
      <c r="A58" t="s">
        <v>11</v>
      </c>
      <c r="B58" t="s">
        <v>7</v>
      </c>
      <c r="C58" t="s">
        <v>181</v>
      </c>
      <c r="D58" t="s">
        <v>182</v>
      </c>
      <c r="E58" t="str">
        <f t="shared" si="0"/>
        <v>net.bytebuddy.utility.GraalImageCode.ImageCodeContextAction</v>
      </c>
      <c r="F58" t="s">
        <v>183</v>
      </c>
      <c r="G58" s="3">
        <v>346</v>
      </c>
      <c r="H58" s="3">
        <v>0</v>
      </c>
      <c r="I58" s="3">
        <f>VLOOKUP(E58,codex!A$1:B$359,2,0)</f>
        <v>0</v>
      </c>
    </row>
    <row r="59" spans="1:9" x14ac:dyDescent="0.25">
      <c r="A59" t="s">
        <v>11</v>
      </c>
      <c r="B59" t="s">
        <v>7</v>
      </c>
      <c r="C59" t="s">
        <v>129</v>
      </c>
      <c r="D59" t="s">
        <v>184</v>
      </c>
      <c r="E59" t="str">
        <f t="shared" si="0"/>
        <v>net.bytebuddy.asm.MemberSubstitution.Factory</v>
      </c>
      <c r="F59" t="s">
        <v>185</v>
      </c>
      <c r="G59" s="3">
        <v>464</v>
      </c>
      <c r="H59" s="3">
        <v>0</v>
      </c>
      <c r="I59" s="3">
        <f>VLOOKUP(E59,codex!A$1:B$359,2,0)</f>
        <v>0</v>
      </c>
    </row>
    <row r="60" spans="1:9" x14ac:dyDescent="0.25">
      <c r="A60" t="s">
        <v>11</v>
      </c>
      <c r="B60" t="s">
        <v>7</v>
      </c>
      <c r="C60" t="s">
        <v>186</v>
      </c>
      <c r="D60" t="s">
        <v>187</v>
      </c>
      <c r="E60" t="str">
        <f t="shared" si="0"/>
        <v>net.bytebuddy.pool.TypePool.LazyTypeVariable</v>
      </c>
      <c r="F60" t="s">
        <v>188</v>
      </c>
      <c r="G60" s="3">
        <v>359</v>
      </c>
      <c r="H60" s="3">
        <v>0</v>
      </c>
      <c r="I60" s="3">
        <f>VLOOKUP(E60,codex!A$1:B$359,2,0)</f>
        <v>0</v>
      </c>
    </row>
    <row r="61" spans="1:9" x14ac:dyDescent="0.25">
      <c r="A61" t="s">
        <v>11</v>
      </c>
      <c r="B61" t="s">
        <v>7</v>
      </c>
      <c r="C61" t="s">
        <v>189</v>
      </c>
      <c r="D61" t="s">
        <v>190</v>
      </c>
      <c r="E61" t="str">
        <f t="shared" si="0"/>
        <v>net.bytebuddy.build.AccessControllerPlugin.WithProperty</v>
      </c>
      <c r="F61" t="s">
        <v>191</v>
      </c>
      <c r="G61" s="3">
        <v>343</v>
      </c>
      <c r="H61" s="3">
        <v>0</v>
      </c>
      <c r="I61" s="3">
        <f>VLOOKUP(E61,codex!A$1:B$359,2,0)</f>
        <v>0</v>
      </c>
    </row>
    <row r="62" spans="1:9" x14ac:dyDescent="0.25">
      <c r="A62" t="s">
        <v>11</v>
      </c>
      <c r="B62" t="s">
        <v>7</v>
      </c>
      <c r="C62" t="s">
        <v>186</v>
      </c>
      <c r="D62" t="s">
        <v>192</v>
      </c>
      <c r="E62" t="str">
        <f t="shared" si="0"/>
        <v>net.bytebuddy.pool.TypePool.FieldTokenList</v>
      </c>
      <c r="F62" t="s">
        <v>193</v>
      </c>
      <c r="G62" s="3">
        <v>350</v>
      </c>
      <c r="H62" s="3">
        <v>0</v>
      </c>
      <c r="I62" s="3">
        <f>VLOOKUP(E62,codex!A$1:B$359,2,0)</f>
        <v>0</v>
      </c>
    </row>
    <row r="63" spans="1:9" x14ac:dyDescent="0.25">
      <c r="A63" t="s">
        <v>89</v>
      </c>
      <c r="B63" t="s">
        <v>7</v>
      </c>
      <c r="C63" t="s">
        <v>194</v>
      </c>
      <c r="D63" t="s">
        <v>195</v>
      </c>
      <c r="E63" t="str">
        <f t="shared" si="0"/>
        <v>org.apache.commons.lang3.mutable.Mutable</v>
      </c>
      <c r="F63" t="s">
        <v>196</v>
      </c>
      <c r="G63" s="3">
        <v>326</v>
      </c>
      <c r="H63" s="3">
        <v>0</v>
      </c>
      <c r="I63" s="3">
        <f>VLOOKUP(E63,codex!A$1:B$359,2,0)</f>
        <v>0</v>
      </c>
    </row>
    <row r="64" spans="1:9" x14ac:dyDescent="0.25">
      <c r="A64" t="s">
        <v>11</v>
      </c>
      <c r="B64" t="s">
        <v>7</v>
      </c>
      <c r="C64" t="s">
        <v>197</v>
      </c>
      <c r="D64" t="s">
        <v>198</v>
      </c>
      <c r="E64" t="str">
        <f t="shared" si="0"/>
        <v>net.bytebuddy.build.gradle.ByteBuddySimpleTaskExtension</v>
      </c>
      <c r="F64" t="s">
        <v>199</v>
      </c>
      <c r="G64" s="3">
        <v>355</v>
      </c>
      <c r="H64" s="3">
        <v>0</v>
      </c>
      <c r="I64" s="3">
        <f>VLOOKUP(E64,codex!A$1:B$359,2,0)</f>
        <v>0</v>
      </c>
    </row>
    <row r="65" spans="1:9" x14ac:dyDescent="0.25">
      <c r="A65" t="s">
        <v>11</v>
      </c>
      <c r="B65" t="s">
        <v>7</v>
      </c>
      <c r="C65" t="s">
        <v>200</v>
      </c>
      <c r="D65" t="s">
        <v>201</v>
      </c>
      <c r="E65" t="str">
        <f t="shared" si="0"/>
        <v>net.bytebuddy.build.Plugin.CompoundIterator</v>
      </c>
      <c r="F65" t="s">
        <v>202</v>
      </c>
      <c r="G65" s="3">
        <v>331</v>
      </c>
      <c r="H65" s="3">
        <v>0</v>
      </c>
      <c r="I65" s="3">
        <f>VLOOKUP(E65,codex!A$1:B$359,2,0)</f>
        <v>0</v>
      </c>
    </row>
    <row r="66" spans="1:9" x14ac:dyDescent="0.25">
      <c r="A66" t="s">
        <v>11</v>
      </c>
      <c r="B66" t="s">
        <v>7</v>
      </c>
      <c r="C66" t="s">
        <v>203</v>
      </c>
      <c r="D66" t="s">
        <v>204</v>
      </c>
      <c r="E66" t="str">
        <f t="shared" si="0"/>
        <v>net.bytebuddy.description.TypeVariableSource.AbstractBase</v>
      </c>
      <c r="F66" t="s">
        <v>205</v>
      </c>
      <c r="G66" s="3">
        <v>361</v>
      </c>
      <c r="H66" s="3">
        <v>0</v>
      </c>
      <c r="I66" s="3">
        <f>VLOOKUP(E66,codex!A$1:B$359,2,0)</f>
        <v>0</v>
      </c>
    </row>
    <row r="67" spans="1:9" x14ac:dyDescent="0.25">
      <c r="A67" t="s">
        <v>41</v>
      </c>
      <c r="B67" t="s">
        <v>7</v>
      </c>
      <c r="C67" t="s">
        <v>206</v>
      </c>
      <c r="D67" t="s">
        <v>207</v>
      </c>
      <c r="E67" t="str">
        <f t="shared" ref="E67:E130" si="1">C67&amp;"."&amp;D67</f>
        <v>org.adoptopenjdk.jitwatch.model.assembly.AssemblyInstruction</v>
      </c>
      <c r="F67" t="s">
        <v>208</v>
      </c>
      <c r="G67" s="3">
        <v>364</v>
      </c>
      <c r="H67" s="3">
        <v>0</v>
      </c>
      <c r="I67" s="3">
        <f>VLOOKUP(E67,codex!A$1:B$359,2,0)</f>
        <v>1</v>
      </c>
    </row>
    <row r="68" spans="1:9" x14ac:dyDescent="0.25">
      <c r="A68" t="s">
        <v>6</v>
      </c>
      <c r="B68" t="s">
        <v>7</v>
      </c>
      <c r="C68" t="s">
        <v>209</v>
      </c>
      <c r="D68" t="s">
        <v>210</v>
      </c>
      <c r="E68" t="str">
        <f t="shared" si="1"/>
        <v>org.tensorflow.op.Ops</v>
      </c>
      <c r="F68" t="s">
        <v>211</v>
      </c>
      <c r="G68" s="3">
        <v>347</v>
      </c>
      <c r="H68" s="3">
        <v>1</v>
      </c>
      <c r="I68" s="3">
        <f>VLOOKUP(E68,codex!A$1:B$359,2,0)</f>
        <v>1</v>
      </c>
    </row>
    <row r="69" spans="1:9" x14ac:dyDescent="0.25">
      <c r="A69" t="s">
        <v>11</v>
      </c>
      <c r="B69" t="s">
        <v>7</v>
      </c>
      <c r="C69" t="s">
        <v>189</v>
      </c>
      <c r="D69" t="s">
        <v>212</v>
      </c>
      <c r="E69" t="str">
        <f t="shared" si="1"/>
        <v>net.bytebuddy.build.AccessControllerPlugin.WithoutProperty</v>
      </c>
      <c r="F69" t="s">
        <v>213</v>
      </c>
      <c r="G69" s="3">
        <v>344</v>
      </c>
      <c r="H69" s="3">
        <v>0</v>
      </c>
      <c r="I69" s="3">
        <f>VLOOKUP(E69,codex!A$1:B$359,2,0)</f>
        <v>0</v>
      </c>
    </row>
    <row r="70" spans="1:9" x14ac:dyDescent="0.25">
      <c r="A70" t="s">
        <v>11</v>
      </c>
      <c r="B70" t="s">
        <v>7</v>
      </c>
      <c r="C70" t="s">
        <v>214</v>
      </c>
      <c r="D70" t="s">
        <v>215</v>
      </c>
      <c r="E70" t="str">
        <f t="shared" si="1"/>
        <v>net.bytebuddy.agent.ByteBuddyAgent.ExternalAttachment</v>
      </c>
      <c r="F70" t="s">
        <v>216</v>
      </c>
      <c r="G70" s="3">
        <v>334</v>
      </c>
      <c r="H70" s="3">
        <v>0</v>
      </c>
      <c r="I70" s="3">
        <f>VLOOKUP(E70,codex!A$1:B$359,2,0)</f>
        <v>0</v>
      </c>
    </row>
    <row r="71" spans="1:9" x14ac:dyDescent="0.25">
      <c r="A71" t="s">
        <v>11</v>
      </c>
      <c r="B71" t="s">
        <v>7</v>
      </c>
      <c r="C71" t="s">
        <v>217</v>
      </c>
      <c r="D71" t="s">
        <v>218</v>
      </c>
      <c r="E71" t="str">
        <f t="shared" si="1"/>
        <v>net.bytebuddy.dynamic.scaffold.TypeWriter.Default</v>
      </c>
      <c r="F71" t="s">
        <v>219</v>
      </c>
      <c r="G71" s="3">
        <v>679</v>
      </c>
      <c r="H71" s="3">
        <v>0</v>
      </c>
      <c r="I71" s="3">
        <f>VLOOKUP(E71,codex!A$1:B$359,2,0)</f>
        <v>1</v>
      </c>
    </row>
    <row r="72" spans="1:9" x14ac:dyDescent="0.25">
      <c r="A72" t="s">
        <v>11</v>
      </c>
      <c r="B72" t="s">
        <v>7</v>
      </c>
      <c r="C72" t="s">
        <v>145</v>
      </c>
      <c r="D72" t="s">
        <v>220</v>
      </c>
      <c r="E72" t="str">
        <f t="shared" si="1"/>
        <v>net.bytebuddy.implementation.auxiliary.TypeProxy.AccessorMethodInvocation</v>
      </c>
      <c r="F72" t="s">
        <v>221</v>
      </c>
      <c r="G72" s="3">
        <v>391</v>
      </c>
      <c r="H72" s="3">
        <v>0</v>
      </c>
      <c r="I72" s="3">
        <f>VLOOKUP(E72,codex!A$1:B$359,2,0)</f>
        <v>0</v>
      </c>
    </row>
    <row r="73" spans="1:9" x14ac:dyDescent="0.25">
      <c r="A73" t="s">
        <v>31</v>
      </c>
      <c r="B73" t="s">
        <v>7</v>
      </c>
      <c r="C73" t="s">
        <v>222</v>
      </c>
      <c r="D73" t="s">
        <v>223</v>
      </c>
      <c r="E73" t="str">
        <f t="shared" si="1"/>
        <v>com.google.zxing.client.android.encode.MECARDContactEncoder.MECARDTelDisplayFormatter</v>
      </c>
      <c r="F73" t="s">
        <v>224</v>
      </c>
      <c r="G73" s="3">
        <v>338</v>
      </c>
      <c r="H73" s="3">
        <v>0</v>
      </c>
      <c r="I73" s="3">
        <f>VLOOKUP(E73,codex!A$1:B$359,2,0)</f>
        <v>0</v>
      </c>
    </row>
    <row r="74" spans="1:9" x14ac:dyDescent="0.25">
      <c r="A74" t="s">
        <v>89</v>
      </c>
      <c r="B74" t="s">
        <v>7</v>
      </c>
      <c r="C74" t="s">
        <v>225</v>
      </c>
      <c r="D74" t="s">
        <v>226</v>
      </c>
      <c r="E74" t="str">
        <f t="shared" si="1"/>
        <v>org.apache.commons.lang3.text.StrBuilder.StrBuilderTokenizer</v>
      </c>
      <c r="F74" t="s">
        <v>227</v>
      </c>
      <c r="G74" s="3">
        <v>330</v>
      </c>
      <c r="H74" s="3">
        <v>0</v>
      </c>
      <c r="I74" s="3">
        <f>VLOOKUP(E74,codex!A$1:B$359,2,0)</f>
        <v>0</v>
      </c>
    </row>
    <row r="75" spans="1:9" x14ac:dyDescent="0.25">
      <c r="A75" t="s">
        <v>6</v>
      </c>
      <c r="B75" t="s">
        <v>7</v>
      </c>
      <c r="C75" t="s">
        <v>228</v>
      </c>
      <c r="D75" t="s">
        <v>229</v>
      </c>
      <c r="E75" t="str">
        <f t="shared" si="1"/>
        <v>com.github.javaparser.symbolsolver.resolution.typeinference.BoundSet</v>
      </c>
      <c r="F75" t="s">
        <v>230</v>
      </c>
      <c r="G75" s="3">
        <v>664</v>
      </c>
      <c r="H75" s="3">
        <v>1</v>
      </c>
      <c r="I75" s="3">
        <f>VLOOKUP(E75,codex!A$1:B$359,2,0)</f>
        <v>1</v>
      </c>
    </row>
    <row r="76" spans="1:9" x14ac:dyDescent="0.25">
      <c r="A76" t="s">
        <v>11</v>
      </c>
      <c r="B76" t="s">
        <v>7</v>
      </c>
      <c r="C76" t="s">
        <v>186</v>
      </c>
      <c r="D76" t="s">
        <v>231</v>
      </c>
      <c r="E76" t="str">
        <f t="shared" si="1"/>
        <v>net.bytebuddy.pool.TypePool.LazyAnnotationValue</v>
      </c>
      <c r="F76" t="s">
        <v>232</v>
      </c>
      <c r="G76" s="3">
        <v>391</v>
      </c>
      <c r="H76" s="3">
        <v>0</v>
      </c>
      <c r="I76" s="3">
        <f>VLOOKUP(E76,codex!A$1:B$359,2,0)</f>
        <v>1</v>
      </c>
    </row>
    <row r="77" spans="1:9" x14ac:dyDescent="0.25">
      <c r="A77" t="s">
        <v>6</v>
      </c>
      <c r="B77" t="s">
        <v>7</v>
      </c>
      <c r="C77" t="s">
        <v>233</v>
      </c>
      <c r="D77" t="s">
        <v>234</v>
      </c>
      <c r="E77" t="str">
        <f t="shared" si="1"/>
        <v>com.github.javaparser.metamodel.StringLiteralExprMetaModel</v>
      </c>
      <c r="F77" t="s">
        <v>235</v>
      </c>
      <c r="G77" s="3">
        <v>339</v>
      </c>
      <c r="H77" s="3">
        <v>0</v>
      </c>
      <c r="I77" s="3">
        <f>VLOOKUP(E77,codex!A$1:B$359,2,0)</f>
        <v>0</v>
      </c>
    </row>
    <row r="78" spans="1:9" x14ac:dyDescent="0.25">
      <c r="A78" t="s">
        <v>148</v>
      </c>
      <c r="B78" t="s">
        <v>7</v>
      </c>
      <c r="C78" t="s">
        <v>236</v>
      </c>
      <c r="D78" t="s">
        <v>237</v>
      </c>
      <c r="E78" t="str">
        <f t="shared" si="1"/>
        <v>org.jsoup.safety.Cleaner</v>
      </c>
      <c r="F78" t="s">
        <v>238</v>
      </c>
      <c r="G78" s="3">
        <v>390</v>
      </c>
      <c r="H78" s="3">
        <v>0</v>
      </c>
      <c r="I78" s="3">
        <f>VLOOKUP(E78,codex!A$1:B$359,2,0)</f>
        <v>0</v>
      </c>
    </row>
    <row r="79" spans="1:9" x14ac:dyDescent="0.25">
      <c r="A79" t="s">
        <v>11</v>
      </c>
      <c r="B79" t="s">
        <v>7</v>
      </c>
      <c r="C79" t="s">
        <v>239</v>
      </c>
      <c r="D79" t="s">
        <v>240</v>
      </c>
      <c r="E79" t="str">
        <f t="shared" si="1"/>
        <v>net.bytebuddy.implementation.bytecode.member.FieldAccess.FieldGetInstruction</v>
      </c>
      <c r="F79" t="s">
        <v>241</v>
      </c>
      <c r="G79" s="3">
        <v>351</v>
      </c>
      <c r="H79" s="3">
        <v>0</v>
      </c>
      <c r="I79" s="3">
        <f>VLOOKUP(E79,codex!A$1:B$359,2,0)</f>
        <v>0</v>
      </c>
    </row>
    <row r="80" spans="1:9" x14ac:dyDescent="0.25">
      <c r="A80" t="s">
        <v>6</v>
      </c>
      <c r="B80" t="s">
        <v>7</v>
      </c>
      <c r="C80" t="s">
        <v>242</v>
      </c>
      <c r="D80" t="s">
        <v>243</v>
      </c>
      <c r="E80" t="str">
        <f t="shared" si="1"/>
        <v>a.b.c.ExampleClass</v>
      </c>
      <c r="F80" t="s">
        <v>244</v>
      </c>
      <c r="G80" s="3">
        <v>349</v>
      </c>
      <c r="H80" s="3">
        <v>0</v>
      </c>
      <c r="I80" s="3">
        <f>VLOOKUP(E80,codex!A$1:B$359,2,0)</f>
        <v>0</v>
      </c>
    </row>
    <row r="81" spans="1:9" x14ac:dyDescent="0.25">
      <c r="A81" t="s">
        <v>11</v>
      </c>
      <c r="B81" t="s">
        <v>7</v>
      </c>
      <c r="C81" t="s">
        <v>245</v>
      </c>
      <c r="D81" t="s">
        <v>246</v>
      </c>
      <c r="E81" t="str">
        <f t="shared" si="1"/>
        <v>net.bytebuddy.description.type.TypeVariableToken</v>
      </c>
      <c r="F81" t="s">
        <v>247</v>
      </c>
      <c r="G81" s="3">
        <v>387</v>
      </c>
      <c r="H81" s="3">
        <v>0</v>
      </c>
      <c r="I81" s="3">
        <f>VLOOKUP(E81,codex!A$1:B$359,2,0)</f>
        <v>0</v>
      </c>
    </row>
    <row r="82" spans="1:9" x14ac:dyDescent="0.25">
      <c r="A82" t="s">
        <v>11</v>
      </c>
      <c r="B82" t="s">
        <v>7</v>
      </c>
      <c r="C82" t="s">
        <v>186</v>
      </c>
      <c r="D82" t="s">
        <v>248</v>
      </c>
      <c r="E82" t="str">
        <f t="shared" si="1"/>
        <v>net.bytebuddy.pool.TypePool.TokenizedGenericType</v>
      </c>
      <c r="F82" t="s">
        <v>249</v>
      </c>
      <c r="G82" s="3">
        <v>369</v>
      </c>
      <c r="H82" s="3">
        <v>0</v>
      </c>
      <c r="I82" s="3">
        <f>VLOOKUP(E82,codex!A$1:B$359,2,0)</f>
        <v>0</v>
      </c>
    </row>
    <row r="83" spans="1:9" x14ac:dyDescent="0.25">
      <c r="A83" t="s">
        <v>11</v>
      </c>
      <c r="B83" t="s">
        <v>7</v>
      </c>
      <c r="C83" t="s">
        <v>214</v>
      </c>
      <c r="D83" t="s">
        <v>29</v>
      </c>
      <c r="E83" t="str">
        <f t="shared" si="1"/>
        <v>net.bytebuddy.agent.ByteBuddyAgent.Compound</v>
      </c>
      <c r="F83" t="s">
        <v>250</v>
      </c>
      <c r="G83" s="3">
        <v>334</v>
      </c>
      <c r="H83" s="3">
        <v>0</v>
      </c>
      <c r="I83" s="3">
        <f>VLOOKUP(E83,codex!A$1:B$359,2,0)</f>
        <v>0</v>
      </c>
    </row>
    <row r="84" spans="1:9" x14ac:dyDescent="0.25">
      <c r="A84" t="s">
        <v>11</v>
      </c>
      <c r="B84" t="s">
        <v>7</v>
      </c>
      <c r="C84" t="s">
        <v>251</v>
      </c>
      <c r="D84" t="s">
        <v>252</v>
      </c>
      <c r="E84" t="str">
        <f t="shared" si="1"/>
        <v>net.bytebuddy.dynamic.ClassFileLocator.ExtractionClassFileTransformer</v>
      </c>
      <c r="F84" t="s">
        <v>253</v>
      </c>
      <c r="G84" s="3">
        <v>337</v>
      </c>
      <c r="H84" s="3">
        <v>0</v>
      </c>
      <c r="I84" s="3">
        <f>VLOOKUP(E84,codex!A$1:B$359,2,0)</f>
        <v>0</v>
      </c>
    </row>
    <row r="85" spans="1:9" x14ac:dyDescent="0.25">
      <c r="A85" t="s">
        <v>6</v>
      </c>
      <c r="B85" t="s">
        <v>7</v>
      </c>
      <c r="C85" t="s">
        <v>233</v>
      </c>
      <c r="D85" t="s">
        <v>254</v>
      </c>
      <c r="E85" t="str">
        <f t="shared" si="1"/>
        <v>com.github.javaparser.metamodel.MethodReferenceExprMetaModel</v>
      </c>
      <c r="F85" t="s">
        <v>255</v>
      </c>
      <c r="G85" s="3">
        <v>349</v>
      </c>
      <c r="H85" s="3">
        <v>0</v>
      </c>
      <c r="I85" s="3">
        <f>VLOOKUP(E85,codex!A$1:B$359,2,0)</f>
        <v>0</v>
      </c>
    </row>
    <row r="86" spans="1:9" x14ac:dyDescent="0.25">
      <c r="A86" t="s">
        <v>11</v>
      </c>
      <c r="B86" t="s">
        <v>7</v>
      </c>
      <c r="C86" t="s">
        <v>256</v>
      </c>
      <c r="D86" t="s">
        <v>257</v>
      </c>
      <c r="E86" t="str">
        <f t="shared" si="1"/>
        <v>net.bytebuddy.implementation.bytecode.constant.SerializedConstant</v>
      </c>
      <c r="F86" t="s">
        <v>258</v>
      </c>
      <c r="G86" s="3">
        <v>423</v>
      </c>
      <c r="H86" s="3">
        <v>0</v>
      </c>
      <c r="I86" s="3">
        <f>VLOOKUP(E86,codex!A$1:B$359,2,0)</f>
        <v>0</v>
      </c>
    </row>
    <row r="87" spans="1:9" x14ac:dyDescent="0.25">
      <c r="A87" t="s">
        <v>11</v>
      </c>
      <c r="B87" t="s">
        <v>7</v>
      </c>
      <c r="C87" t="s">
        <v>259</v>
      </c>
      <c r="D87" t="s">
        <v>130</v>
      </c>
      <c r="E87" t="str">
        <f t="shared" si="1"/>
        <v>net.bytebuddy.agent.VirtualMachine.Dispatcher</v>
      </c>
      <c r="F87" t="s">
        <v>260</v>
      </c>
      <c r="G87" s="3">
        <v>332</v>
      </c>
      <c r="H87" s="3">
        <v>0</v>
      </c>
      <c r="I87" s="3">
        <f>VLOOKUP(E87,codex!A$1:B$359,2,0)</f>
        <v>0</v>
      </c>
    </row>
    <row r="88" spans="1:9" x14ac:dyDescent="0.25">
      <c r="A88" t="s">
        <v>89</v>
      </c>
      <c r="B88" t="s">
        <v>7</v>
      </c>
      <c r="C88" t="s">
        <v>261</v>
      </c>
      <c r="D88" t="s">
        <v>262</v>
      </c>
      <c r="E88" t="str">
        <f t="shared" si="1"/>
        <v>org.apache.commons.lang3.exception.ContextedRuntimeException</v>
      </c>
      <c r="F88" t="s">
        <v>263</v>
      </c>
      <c r="G88" s="3">
        <v>356</v>
      </c>
      <c r="H88" s="3">
        <v>0</v>
      </c>
      <c r="I88" s="3">
        <f>VLOOKUP(E88,codex!A$1:B$359,2,0)</f>
        <v>0</v>
      </c>
    </row>
    <row r="89" spans="1:9" x14ac:dyDescent="0.25">
      <c r="A89" t="s">
        <v>31</v>
      </c>
      <c r="B89" t="s">
        <v>7</v>
      </c>
      <c r="C89" t="s">
        <v>264</v>
      </c>
      <c r="D89" t="s">
        <v>265</v>
      </c>
      <c r="E89" t="str">
        <f t="shared" si="1"/>
        <v>com.google.zxing.datamatrix.encoder.HighLevelEncoder</v>
      </c>
      <c r="F89" t="s">
        <v>266</v>
      </c>
      <c r="G89" s="3">
        <v>394</v>
      </c>
      <c r="H89" s="3">
        <v>0</v>
      </c>
      <c r="I89" s="3">
        <f>VLOOKUP(E89,codex!A$1:B$359,2,0)</f>
        <v>1</v>
      </c>
    </row>
    <row r="90" spans="1:9" x14ac:dyDescent="0.25">
      <c r="A90" t="s">
        <v>85</v>
      </c>
      <c r="B90" t="s">
        <v>7</v>
      </c>
      <c r="C90" t="s">
        <v>267</v>
      </c>
      <c r="D90" t="s">
        <v>268</v>
      </c>
      <c r="E90" t="str">
        <f t="shared" si="1"/>
        <v>com.google.gson.LongSerializationPolicy</v>
      </c>
      <c r="F90" t="s">
        <v>269</v>
      </c>
      <c r="G90" s="3">
        <v>336</v>
      </c>
      <c r="H90" s="3">
        <v>0</v>
      </c>
      <c r="I90" s="3">
        <f>VLOOKUP(E90,codex!A$1:B$359,2,0)</f>
        <v>0</v>
      </c>
    </row>
    <row r="91" spans="1:9" x14ac:dyDescent="0.25">
      <c r="A91" t="s">
        <v>24</v>
      </c>
      <c r="B91" t="s">
        <v>7</v>
      </c>
      <c r="C91" t="s">
        <v>270</v>
      </c>
      <c r="D91" t="s">
        <v>58</v>
      </c>
      <c r="E91" t="str">
        <f t="shared" si="1"/>
        <v>org.apache.commons.io.file.CountingPathVisitor.Builder</v>
      </c>
      <c r="F91" t="s">
        <v>271</v>
      </c>
      <c r="G91" s="3">
        <v>329</v>
      </c>
      <c r="H91" s="3">
        <v>0</v>
      </c>
      <c r="I91" s="3">
        <f>VLOOKUP(E91,codex!A$1:B$359,2,0)</f>
        <v>0</v>
      </c>
    </row>
    <row r="92" spans="1:9" x14ac:dyDescent="0.25">
      <c r="A92" t="s">
        <v>11</v>
      </c>
      <c r="B92" t="s">
        <v>7</v>
      </c>
      <c r="C92" t="s">
        <v>272</v>
      </c>
      <c r="D92" t="s">
        <v>273</v>
      </c>
      <c r="E92" t="str">
        <f t="shared" si="1"/>
        <v>net.bytebuddy.description.field.FieldDescription.SignatureToken</v>
      </c>
      <c r="F92" t="s">
        <v>274</v>
      </c>
      <c r="G92" s="3">
        <v>354</v>
      </c>
      <c r="H92" s="3">
        <v>0</v>
      </c>
      <c r="I92" s="3">
        <f>VLOOKUP(E92,codex!A$1:B$359,2,0)</f>
        <v>0</v>
      </c>
    </row>
    <row r="93" spans="1:9" x14ac:dyDescent="0.25">
      <c r="A93" t="s">
        <v>11</v>
      </c>
      <c r="B93" t="s">
        <v>7</v>
      </c>
      <c r="C93" t="s">
        <v>129</v>
      </c>
      <c r="D93" t="s">
        <v>275</v>
      </c>
      <c r="E93" t="str">
        <f t="shared" si="1"/>
        <v>net.bytebuddy.asm.MemberSubstitution.ForMatchedByteCodeElement</v>
      </c>
      <c r="F93" t="s">
        <v>276</v>
      </c>
      <c r="G93" s="3">
        <v>374</v>
      </c>
      <c r="H93" s="3">
        <v>0</v>
      </c>
      <c r="I93" s="3">
        <f>VLOOKUP(E93,codex!A$1:B$359,2,0)</f>
        <v>0</v>
      </c>
    </row>
    <row r="94" spans="1:9" x14ac:dyDescent="0.25">
      <c r="A94" t="s">
        <v>6</v>
      </c>
      <c r="B94" t="s">
        <v>7</v>
      </c>
      <c r="C94" t="s">
        <v>277</v>
      </c>
      <c r="D94" t="s">
        <v>278</v>
      </c>
      <c r="E94" t="str">
        <f t="shared" si="1"/>
        <v>com.github.javaparser.printer.XmlPrinter</v>
      </c>
      <c r="F94" t="s">
        <v>279</v>
      </c>
      <c r="G94" s="3">
        <v>372</v>
      </c>
      <c r="H94" s="3">
        <v>0</v>
      </c>
      <c r="I94" s="3">
        <f>VLOOKUP(E94,codex!A$1:B$359,2,0)</f>
        <v>0</v>
      </c>
    </row>
    <row r="95" spans="1:9" x14ac:dyDescent="0.25">
      <c r="A95" t="s">
        <v>6</v>
      </c>
      <c r="B95" t="s">
        <v>7</v>
      </c>
      <c r="C95" t="s">
        <v>233</v>
      </c>
      <c r="D95" t="s">
        <v>280</v>
      </c>
      <c r="E95" t="str">
        <f t="shared" si="1"/>
        <v>com.github.javaparser.metamodel.JavadocCommentMetaModel</v>
      </c>
      <c r="F95" t="s">
        <v>281</v>
      </c>
      <c r="G95" s="3">
        <v>339</v>
      </c>
      <c r="H95" s="3">
        <v>0</v>
      </c>
      <c r="I95" s="3">
        <f>VLOOKUP(E95,codex!A$1:B$359,2,0)</f>
        <v>0</v>
      </c>
    </row>
    <row r="96" spans="1:9" x14ac:dyDescent="0.25">
      <c r="A96" t="s">
        <v>31</v>
      </c>
      <c r="B96" t="s">
        <v>7</v>
      </c>
      <c r="C96" t="s">
        <v>282</v>
      </c>
      <c r="D96" t="s">
        <v>283</v>
      </c>
      <c r="E96" t="str">
        <f t="shared" si="1"/>
        <v>com.google.zxing.common.ECIEncoderSet</v>
      </c>
      <c r="F96" t="s">
        <v>284</v>
      </c>
      <c r="G96" s="3">
        <v>337</v>
      </c>
      <c r="H96" s="3">
        <v>0</v>
      </c>
      <c r="I96" s="3">
        <f>VLOOKUP(E96,codex!A$1:B$359,2,0)</f>
        <v>0</v>
      </c>
    </row>
    <row r="97" spans="1:9" x14ac:dyDescent="0.25">
      <c r="A97" t="s">
        <v>75</v>
      </c>
      <c r="B97" t="s">
        <v>7</v>
      </c>
      <c r="C97" t="s">
        <v>285</v>
      </c>
      <c r="D97" t="s">
        <v>286</v>
      </c>
      <c r="E97" t="str">
        <f t="shared" si="1"/>
        <v>com.google.common.jimfs.UserLookupService.NamedPrincipal</v>
      </c>
      <c r="F97" t="s">
        <v>287</v>
      </c>
      <c r="G97" s="3">
        <v>332</v>
      </c>
      <c r="H97" s="3">
        <v>0</v>
      </c>
      <c r="I97" s="3">
        <f>VLOOKUP(E97,codex!A$1:B$359,2,0)</f>
        <v>0</v>
      </c>
    </row>
    <row r="98" spans="1:9" x14ac:dyDescent="0.25">
      <c r="A98" t="s">
        <v>31</v>
      </c>
      <c r="B98" t="s">
        <v>7</v>
      </c>
      <c r="C98" t="s">
        <v>288</v>
      </c>
      <c r="D98" t="s">
        <v>289</v>
      </c>
      <c r="E98" t="str">
        <f t="shared" si="1"/>
        <v>com.google.zxing.pdf417.decoder.DetectionResultColumn</v>
      </c>
      <c r="F98" t="s">
        <v>290</v>
      </c>
      <c r="G98" s="3">
        <v>352</v>
      </c>
      <c r="H98" s="3">
        <v>0</v>
      </c>
      <c r="I98" s="3">
        <f>VLOOKUP(E98,codex!A$1:B$359,2,0)</f>
        <v>0</v>
      </c>
    </row>
    <row r="99" spans="1:9" x14ac:dyDescent="0.25">
      <c r="A99" t="s">
        <v>11</v>
      </c>
      <c r="B99" t="s">
        <v>7</v>
      </c>
      <c r="C99" t="s">
        <v>291</v>
      </c>
      <c r="D99" t="s">
        <v>292</v>
      </c>
      <c r="E99" t="str">
        <f t="shared" si="1"/>
        <v>net.bytebuddy.implementation.attribute.AnnotationAppender.OnField</v>
      </c>
      <c r="F99" t="s">
        <v>293</v>
      </c>
      <c r="G99" s="3">
        <v>346</v>
      </c>
      <c r="H99" s="3">
        <v>0</v>
      </c>
      <c r="I99" s="3">
        <f>VLOOKUP(E99,codex!A$1:B$359,2,0)</f>
        <v>0</v>
      </c>
    </row>
    <row r="100" spans="1:9" x14ac:dyDescent="0.25">
      <c r="A100" t="s">
        <v>31</v>
      </c>
      <c r="B100" t="s">
        <v>7</v>
      </c>
      <c r="C100" t="s">
        <v>294</v>
      </c>
      <c r="D100" t="s">
        <v>295</v>
      </c>
      <c r="E100" t="str">
        <f t="shared" si="1"/>
        <v>com.google.zxing.common.reedsolomon.ReedSolomonEncoder</v>
      </c>
      <c r="F100" t="s">
        <v>296</v>
      </c>
      <c r="G100" s="3">
        <v>362</v>
      </c>
      <c r="H100" s="3">
        <v>0</v>
      </c>
      <c r="I100" s="3">
        <f>VLOOKUP(E100,codex!A$1:B$359,2,0)</f>
        <v>0</v>
      </c>
    </row>
    <row r="101" spans="1:9" x14ac:dyDescent="0.25">
      <c r="A101" t="s">
        <v>11</v>
      </c>
      <c r="B101" t="s">
        <v>7</v>
      </c>
      <c r="C101" t="s">
        <v>297</v>
      </c>
      <c r="D101" t="s">
        <v>298</v>
      </c>
      <c r="E101" t="str">
        <f t="shared" si="1"/>
        <v>net.bytebuddy.dynamic.TypeResolutionStrategy</v>
      </c>
      <c r="F101" t="s">
        <v>299</v>
      </c>
      <c r="G101" s="3">
        <v>362</v>
      </c>
      <c r="H101" s="3">
        <v>0</v>
      </c>
      <c r="I101" s="3">
        <f>VLOOKUP(E101,codex!A$1:B$359,2,0)</f>
        <v>0</v>
      </c>
    </row>
    <row r="102" spans="1:9" x14ac:dyDescent="0.25">
      <c r="A102" t="s">
        <v>31</v>
      </c>
      <c r="B102" t="s">
        <v>7</v>
      </c>
      <c r="C102" t="s">
        <v>300</v>
      </c>
      <c r="D102" t="s">
        <v>301</v>
      </c>
      <c r="E102" t="str">
        <f t="shared" si="1"/>
        <v>com.google.zxing.oned.rss.expanded.decoders.FieldParser.DataLength</v>
      </c>
      <c r="F102" t="s">
        <v>302</v>
      </c>
      <c r="G102" s="3">
        <v>341</v>
      </c>
      <c r="H102" s="3">
        <v>0</v>
      </c>
      <c r="I102" s="3">
        <f>VLOOKUP(E102,codex!A$1:B$359,2,0)</f>
        <v>0</v>
      </c>
    </row>
    <row r="103" spans="1:9" x14ac:dyDescent="0.25">
      <c r="A103" t="s">
        <v>11</v>
      </c>
      <c r="B103" t="s">
        <v>7</v>
      </c>
      <c r="C103" t="s">
        <v>303</v>
      </c>
      <c r="D103" t="s">
        <v>304</v>
      </c>
      <c r="E103" t="str">
        <f t="shared" si="1"/>
        <v>net.bytebuddy.description.method.MethodDescription.Latent</v>
      </c>
      <c r="F103" t="s">
        <v>305</v>
      </c>
      <c r="G103" s="3">
        <v>397</v>
      </c>
      <c r="H103" s="3">
        <v>0</v>
      </c>
      <c r="I103" s="3">
        <f>VLOOKUP(E103,codex!A$1:B$359,2,0)</f>
        <v>1</v>
      </c>
    </row>
    <row r="104" spans="1:9" x14ac:dyDescent="0.25">
      <c r="A104" t="s">
        <v>11</v>
      </c>
      <c r="B104" t="s">
        <v>7</v>
      </c>
      <c r="C104" t="s">
        <v>306</v>
      </c>
      <c r="D104" t="s">
        <v>307</v>
      </c>
      <c r="E104" t="str">
        <f t="shared" si="1"/>
        <v>net.bytebuddy.implementation.bytecode.constant.MethodConstant.CanCacheIllegal</v>
      </c>
      <c r="F104" t="s">
        <v>308</v>
      </c>
      <c r="G104" s="3">
        <v>350</v>
      </c>
      <c r="H104" s="3">
        <v>0</v>
      </c>
      <c r="I104" s="3">
        <f>VLOOKUP(E104,codex!A$1:B$359,2,0)</f>
        <v>0</v>
      </c>
    </row>
    <row r="105" spans="1:9" x14ac:dyDescent="0.25">
      <c r="A105" t="s">
        <v>11</v>
      </c>
      <c r="B105" t="s">
        <v>7</v>
      </c>
      <c r="C105" t="s">
        <v>309</v>
      </c>
      <c r="D105" t="s">
        <v>184</v>
      </c>
      <c r="E105" t="str">
        <f t="shared" si="1"/>
        <v>net.bytebuddy.implementation.Implementation.Factory</v>
      </c>
      <c r="F105" t="s">
        <v>310</v>
      </c>
      <c r="G105" s="3">
        <v>372</v>
      </c>
      <c r="H105" s="3">
        <v>0</v>
      </c>
      <c r="I105" s="3">
        <f>VLOOKUP(E105,codex!A$1:B$359,2,0)</f>
        <v>0</v>
      </c>
    </row>
    <row r="106" spans="1:9" x14ac:dyDescent="0.25">
      <c r="A106" t="s">
        <v>11</v>
      </c>
      <c r="B106" t="s">
        <v>7</v>
      </c>
      <c r="C106" t="s">
        <v>303</v>
      </c>
      <c r="D106" t="s">
        <v>311</v>
      </c>
      <c r="E106" t="str">
        <f t="shared" si="1"/>
        <v>net.bytebuddy.description.method.MethodDescription.TypeToken</v>
      </c>
      <c r="F106" t="s">
        <v>312</v>
      </c>
      <c r="G106" s="3">
        <v>353</v>
      </c>
      <c r="H106" s="3">
        <v>0</v>
      </c>
      <c r="I106" s="3">
        <f>VLOOKUP(E106,codex!A$1:B$359,2,0)</f>
        <v>0</v>
      </c>
    </row>
    <row r="107" spans="1:9" x14ac:dyDescent="0.25">
      <c r="A107" t="s">
        <v>148</v>
      </c>
      <c r="B107" t="s">
        <v>7</v>
      </c>
      <c r="C107" t="s">
        <v>313</v>
      </c>
      <c r="D107" t="s">
        <v>314</v>
      </c>
      <c r="E107" t="str">
        <f t="shared" si="1"/>
        <v>org.jsoup.helper.RequestDispatch</v>
      </c>
      <c r="F107" t="s">
        <v>315</v>
      </c>
      <c r="G107" s="3">
        <v>332</v>
      </c>
      <c r="H107" s="3">
        <v>0</v>
      </c>
      <c r="I107" s="3">
        <f>VLOOKUP(E107,codex!A$1:B$359,2,0)</f>
        <v>0</v>
      </c>
    </row>
    <row r="108" spans="1:9" x14ac:dyDescent="0.25">
      <c r="A108" t="s">
        <v>6</v>
      </c>
      <c r="B108" t="s">
        <v>7</v>
      </c>
      <c r="C108" t="s">
        <v>316</v>
      </c>
      <c r="D108" t="s">
        <v>317</v>
      </c>
      <c r="E108" t="str">
        <f t="shared" si="1"/>
        <v>com.github.javaparser.ast.visitor.HashCodeVisitor</v>
      </c>
      <c r="F108" t="s">
        <v>318</v>
      </c>
      <c r="G108" s="3">
        <v>1574</v>
      </c>
      <c r="H108" s="3">
        <v>1</v>
      </c>
      <c r="I108" s="3">
        <f>VLOOKUP(E108,codex!A$1:B$359,2,0)</f>
        <v>0</v>
      </c>
    </row>
    <row r="109" spans="1:9" x14ac:dyDescent="0.25">
      <c r="A109" t="s">
        <v>6</v>
      </c>
      <c r="B109" t="s">
        <v>7</v>
      </c>
      <c r="C109" t="s">
        <v>319</v>
      </c>
      <c r="D109" t="s">
        <v>320</v>
      </c>
      <c r="E109" t="str">
        <f t="shared" si="1"/>
        <v>com.github.javaparser.ast.Node.DirectChildrenIterator</v>
      </c>
      <c r="F109" t="s">
        <v>321</v>
      </c>
      <c r="G109" s="3">
        <v>335</v>
      </c>
      <c r="H109" s="3">
        <v>0</v>
      </c>
      <c r="I109" s="3">
        <f>VLOOKUP(E109,codex!A$1:B$359,2,0)</f>
        <v>0</v>
      </c>
    </row>
    <row r="110" spans="1:9" x14ac:dyDescent="0.25">
      <c r="A110" t="s">
        <v>6</v>
      </c>
      <c r="B110" t="s">
        <v>7</v>
      </c>
      <c r="C110" t="s">
        <v>322</v>
      </c>
      <c r="D110" t="s">
        <v>323</v>
      </c>
      <c r="E110" t="str">
        <f t="shared" si="1"/>
        <v>com.github.javaparser.javadoc.JavadocBlockTag.Type</v>
      </c>
      <c r="F110" t="s">
        <v>324</v>
      </c>
      <c r="G110" s="3">
        <v>339</v>
      </c>
      <c r="H110" s="3">
        <v>0</v>
      </c>
      <c r="I110" s="3">
        <f>VLOOKUP(E110,codex!A$1:B$359,2,0)</f>
        <v>0</v>
      </c>
    </row>
    <row r="111" spans="1:9" x14ac:dyDescent="0.25">
      <c r="A111" t="s">
        <v>41</v>
      </c>
      <c r="B111" t="s">
        <v>7</v>
      </c>
      <c r="C111" t="s">
        <v>325</v>
      </c>
      <c r="D111" t="s">
        <v>326</v>
      </c>
      <c r="E111" t="str">
        <f t="shared" si="1"/>
        <v>org.adoptopenjdk.jitwatch.ui.report.ReportStageType</v>
      </c>
      <c r="F111" t="s">
        <v>327</v>
      </c>
      <c r="G111" s="3">
        <v>337</v>
      </c>
      <c r="H111" s="3">
        <v>0</v>
      </c>
      <c r="I111" s="3">
        <f>VLOOKUP(E111,codex!A$1:B$359,2,0)</f>
        <v>0</v>
      </c>
    </row>
    <row r="112" spans="1:9" x14ac:dyDescent="0.25">
      <c r="A112" t="s">
        <v>11</v>
      </c>
      <c r="B112" t="s">
        <v>7</v>
      </c>
      <c r="C112" t="s">
        <v>328</v>
      </c>
      <c r="D112" t="s">
        <v>329</v>
      </c>
      <c r="E112" t="str">
        <f t="shared" si="1"/>
        <v>net.bytebuddy.description.type.TypeDescription.ForLoadedReturnType</v>
      </c>
      <c r="F112" t="s">
        <v>330</v>
      </c>
      <c r="G112" s="3">
        <v>345</v>
      </c>
      <c r="H112" s="3">
        <v>0</v>
      </c>
      <c r="I112" s="3">
        <f>VLOOKUP(E112,codex!A$1:B$359,2,0)</f>
        <v>0</v>
      </c>
    </row>
    <row r="113" spans="1:9" x14ac:dyDescent="0.25">
      <c r="A113" t="s">
        <v>6</v>
      </c>
      <c r="B113" t="s">
        <v>7</v>
      </c>
      <c r="C113" t="s">
        <v>155</v>
      </c>
      <c r="D113" t="s">
        <v>331</v>
      </c>
      <c r="E113" t="str">
        <f t="shared" si="1"/>
        <v>com.github.javaparser.resolution.logic.MethodResolutionLogic</v>
      </c>
      <c r="F113" t="s">
        <v>332</v>
      </c>
      <c r="G113" s="3">
        <v>596</v>
      </c>
      <c r="H113" s="3">
        <v>1</v>
      </c>
      <c r="I113" s="3">
        <f>VLOOKUP(E113,codex!A$1:B$359,2,0)</f>
        <v>1</v>
      </c>
    </row>
    <row r="114" spans="1:9" x14ac:dyDescent="0.25">
      <c r="A114" t="s">
        <v>24</v>
      </c>
      <c r="B114" t="s">
        <v>7</v>
      </c>
      <c r="C114" t="s">
        <v>66</v>
      </c>
      <c r="D114" t="s">
        <v>333</v>
      </c>
      <c r="E114" t="str">
        <f t="shared" si="1"/>
        <v>org.apache.commons.io.output.NullWriter</v>
      </c>
      <c r="F114" t="s">
        <v>334</v>
      </c>
      <c r="G114" s="3">
        <v>337</v>
      </c>
      <c r="H114" s="3">
        <v>0</v>
      </c>
      <c r="I114" s="3">
        <f>VLOOKUP(E114,codex!A$1:B$359,2,0)</f>
        <v>0</v>
      </c>
    </row>
    <row r="115" spans="1:9" x14ac:dyDescent="0.25">
      <c r="A115" t="s">
        <v>6</v>
      </c>
      <c r="B115" t="s">
        <v>7</v>
      </c>
      <c r="C115" t="s">
        <v>335</v>
      </c>
      <c r="D115" t="s">
        <v>336</v>
      </c>
      <c r="E115" t="str">
        <f t="shared" si="1"/>
        <v>com.github.javaparser.symbolsolver.javassistmodel.JavassistMethodDeclaration</v>
      </c>
      <c r="F115" t="s">
        <v>337</v>
      </c>
      <c r="G115" s="3">
        <v>479</v>
      </c>
      <c r="H115" s="3">
        <v>1</v>
      </c>
      <c r="I115" s="3">
        <f>VLOOKUP(E115,codex!A$1:B$359,2,0)</f>
        <v>0</v>
      </c>
    </row>
    <row r="116" spans="1:9" x14ac:dyDescent="0.25">
      <c r="A116" t="s">
        <v>11</v>
      </c>
      <c r="B116" t="s">
        <v>7</v>
      </c>
      <c r="C116" t="s">
        <v>338</v>
      </c>
      <c r="D116" t="s">
        <v>339</v>
      </c>
      <c r="E116" t="str">
        <f t="shared" si="1"/>
        <v>net.bytebuddy.dynamic.loading.ClassLoadingStrategy.WrappingDispatcher</v>
      </c>
      <c r="F116" t="s">
        <v>340</v>
      </c>
      <c r="G116" s="3">
        <v>388</v>
      </c>
      <c r="H116" s="3">
        <v>0</v>
      </c>
      <c r="I116" s="3">
        <f>VLOOKUP(E116,codex!A$1:B$359,2,0)</f>
        <v>0</v>
      </c>
    </row>
    <row r="117" spans="1:9" x14ac:dyDescent="0.25">
      <c r="A117" t="s">
        <v>41</v>
      </c>
      <c r="B117" t="s">
        <v>7</v>
      </c>
      <c r="C117" t="s">
        <v>341</v>
      </c>
      <c r="D117" t="s">
        <v>342</v>
      </c>
      <c r="E117" t="str">
        <f t="shared" si="1"/>
        <v>org.adoptopenjdk.jitwatch.ui.nmethod.NMethodInfo</v>
      </c>
      <c r="F117" t="s">
        <v>343</v>
      </c>
      <c r="G117" s="3">
        <v>393</v>
      </c>
      <c r="H117" s="3">
        <v>0</v>
      </c>
      <c r="I117" s="3">
        <f>VLOOKUP(E117,codex!A$1:B$359,2,0)</f>
        <v>0</v>
      </c>
    </row>
    <row r="118" spans="1:9" x14ac:dyDescent="0.25">
      <c r="A118" t="s">
        <v>31</v>
      </c>
      <c r="B118" t="s">
        <v>7</v>
      </c>
      <c r="C118" t="s">
        <v>79</v>
      </c>
      <c r="D118" t="s">
        <v>344</v>
      </c>
      <c r="E118" t="str">
        <f t="shared" si="1"/>
        <v>com.google.zxing.qrcode.decoder.ErrorCorrectionLevel</v>
      </c>
      <c r="F118" t="s">
        <v>345</v>
      </c>
      <c r="G118" s="3">
        <v>330</v>
      </c>
      <c r="H118" s="3">
        <v>0</v>
      </c>
      <c r="I118" s="3">
        <f>VLOOKUP(E118,codex!A$1:B$359,2,0)</f>
        <v>0</v>
      </c>
    </row>
    <row r="119" spans="1:9" x14ac:dyDescent="0.25">
      <c r="A119" t="s">
        <v>11</v>
      </c>
      <c r="B119" t="s">
        <v>7</v>
      </c>
      <c r="C119" t="s">
        <v>346</v>
      </c>
      <c r="D119" t="s">
        <v>347</v>
      </c>
      <c r="E119" t="str">
        <f t="shared" si="1"/>
        <v>net.bytebuddy.dynamic.scaffold.MethodGraph.Node</v>
      </c>
      <c r="F119" t="s">
        <v>348</v>
      </c>
      <c r="G119" s="3">
        <v>373</v>
      </c>
      <c r="H119" s="3">
        <v>0</v>
      </c>
      <c r="I119" s="3">
        <f>VLOOKUP(E119,codex!A$1:B$359,2,0)</f>
        <v>0</v>
      </c>
    </row>
    <row r="120" spans="1:9" x14ac:dyDescent="0.25">
      <c r="A120" t="s">
        <v>6</v>
      </c>
      <c r="B120" t="s">
        <v>7</v>
      </c>
      <c r="C120" t="s">
        <v>349</v>
      </c>
      <c r="D120" t="s">
        <v>350</v>
      </c>
      <c r="E120" t="str">
        <f t="shared" si="1"/>
        <v>com.github.javaparser.symbolsolver.javaparsermodel.declarations.JavaParserClassDeclaration</v>
      </c>
      <c r="F120" t="s">
        <v>351</v>
      </c>
      <c r="G120" s="3">
        <v>609</v>
      </c>
      <c r="H120" s="3">
        <v>1</v>
      </c>
      <c r="I120" s="3">
        <f>VLOOKUP(E120,codex!A$1:B$359,2,0)</f>
        <v>1</v>
      </c>
    </row>
    <row r="121" spans="1:9" x14ac:dyDescent="0.25">
      <c r="A121" t="s">
        <v>89</v>
      </c>
      <c r="B121" t="s">
        <v>7</v>
      </c>
      <c r="C121" t="s">
        <v>123</v>
      </c>
      <c r="D121" t="s">
        <v>352</v>
      </c>
      <c r="E121" t="str">
        <f t="shared" si="1"/>
        <v>org.apache.commons.lang3.Strings.CiStrings</v>
      </c>
      <c r="F121" t="s">
        <v>353</v>
      </c>
      <c r="G121" s="3">
        <v>326</v>
      </c>
      <c r="H121" s="3">
        <v>0</v>
      </c>
      <c r="I121" s="3">
        <f>VLOOKUP(E121,codex!A$1:B$359,2,0)</f>
        <v>0</v>
      </c>
    </row>
    <row r="122" spans="1:9" x14ac:dyDescent="0.25">
      <c r="A122" t="s">
        <v>11</v>
      </c>
      <c r="B122" t="s">
        <v>7</v>
      </c>
      <c r="C122" t="s">
        <v>354</v>
      </c>
      <c r="D122" t="s">
        <v>355</v>
      </c>
      <c r="E122" t="str">
        <f t="shared" si="1"/>
        <v>net.bytebuddy.build.gradle.android.ByteBuddyAndroidPlugin.AttributeMatchingStrategyConfigurationAction</v>
      </c>
      <c r="F122" t="s">
        <v>356</v>
      </c>
      <c r="G122" s="3">
        <v>348</v>
      </c>
      <c r="H122" s="3">
        <v>0</v>
      </c>
      <c r="I122" s="3">
        <f>VLOOKUP(E122,codex!A$1:B$359,2,0)</f>
        <v>0</v>
      </c>
    </row>
    <row r="123" spans="1:9" x14ac:dyDescent="0.25">
      <c r="A123" t="s">
        <v>31</v>
      </c>
      <c r="B123" t="s">
        <v>7</v>
      </c>
      <c r="C123" t="s">
        <v>32</v>
      </c>
      <c r="D123" t="s">
        <v>357</v>
      </c>
      <c r="E123" t="str">
        <f t="shared" si="1"/>
        <v>com.google.zxing.EncodeHintType</v>
      </c>
      <c r="F123" t="s">
        <v>358</v>
      </c>
      <c r="G123" s="3">
        <v>324</v>
      </c>
      <c r="H123" s="3">
        <v>0</v>
      </c>
      <c r="I123" s="3">
        <f>VLOOKUP(E123,codex!A$1:B$359,2,0)</f>
        <v>0</v>
      </c>
    </row>
    <row r="124" spans="1:9" x14ac:dyDescent="0.25">
      <c r="A124" t="s">
        <v>11</v>
      </c>
      <c r="B124" t="s">
        <v>7</v>
      </c>
      <c r="C124" t="s">
        <v>359</v>
      </c>
      <c r="D124" t="s">
        <v>360</v>
      </c>
      <c r="E124" t="str">
        <f t="shared" si="1"/>
        <v>net.bytebuddy.asm.MemberRemoval.MemberRemovingClassVisitor</v>
      </c>
      <c r="F124" t="s">
        <v>361</v>
      </c>
      <c r="G124" s="3">
        <v>360</v>
      </c>
      <c r="H124" s="3">
        <v>0</v>
      </c>
      <c r="I124" s="3">
        <f>VLOOKUP(E124,codex!A$1:B$359,2,0)</f>
        <v>0</v>
      </c>
    </row>
    <row r="125" spans="1:9" x14ac:dyDescent="0.25">
      <c r="A125" t="s">
        <v>148</v>
      </c>
      <c r="B125" t="s">
        <v>7</v>
      </c>
      <c r="C125" t="s">
        <v>313</v>
      </c>
      <c r="D125" t="s">
        <v>362</v>
      </c>
      <c r="E125" t="str">
        <f t="shared" si="1"/>
        <v>org.jsoup.helper.CookieUtil</v>
      </c>
      <c r="F125" t="s">
        <v>363</v>
      </c>
      <c r="G125" s="3">
        <v>344</v>
      </c>
      <c r="H125" s="3">
        <v>0</v>
      </c>
      <c r="I125" s="3">
        <f>VLOOKUP(E125,codex!A$1:B$359,2,0)</f>
        <v>0</v>
      </c>
    </row>
    <row r="126" spans="1:9" x14ac:dyDescent="0.25">
      <c r="A126" t="s">
        <v>11</v>
      </c>
      <c r="B126" t="s">
        <v>7</v>
      </c>
      <c r="C126" t="s">
        <v>217</v>
      </c>
      <c r="D126" t="s">
        <v>364</v>
      </c>
      <c r="E126" t="str">
        <f t="shared" si="1"/>
        <v>net.bytebuddy.dynamic.scaffold.TypeWriter.WithDrain</v>
      </c>
      <c r="F126" t="s">
        <v>365</v>
      </c>
      <c r="G126" s="3">
        <v>367</v>
      </c>
      <c r="H126" s="3">
        <v>0</v>
      </c>
      <c r="I126" s="3">
        <f>VLOOKUP(E126,codex!A$1:B$359,2,0)</f>
        <v>0</v>
      </c>
    </row>
    <row r="127" spans="1:9" x14ac:dyDescent="0.25">
      <c r="A127" t="s">
        <v>6</v>
      </c>
      <c r="B127" t="s">
        <v>7</v>
      </c>
      <c r="C127" t="s">
        <v>8</v>
      </c>
      <c r="D127" t="s">
        <v>366</v>
      </c>
      <c r="E127" t="str">
        <f t="shared" si="1"/>
        <v>com.github.javaparser.symbolsolver.javaparsermodel.contexts.ArrayAccessExprContext</v>
      </c>
      <c r="F127" t="s">
        <v>367</v>
      </c>
      <c r="G127" s="3">
        <v>389</v>
      </c>
      <c r="H127" s="3">
        <v>0</v>
      </c>
      <c r="I127" s="3">
        <f>VLOOKUP(E127,codex!A$1:B$359,2,0)</f>
        <v>0</v>
      </c>
    </row>
    <row r="128" spans="1:9" x14ac:dyDescent="0.25">
      <c r="A128" t="s">
        <v>11</v>
      </c>
      <c r="B128" t="s">
        <v>7</v>
      </c>
      <c r="C128" t="s">
        <v>368</v>
      </c>
      <c r="D128" t="s">
        <v>369</v>
      </c>
      <c r="E128" t="str">
        <f t="shared" si="1"/>
        <v>net.bytebuddy.utility.dispatcher.JavaDispatcher.ForInstanceCheck</v>
      </c>
      <c r="F128" t="s">
        <v>370</v>
      </c>
      <c r="G128" s="3">
        <v>347</v>
      </c>
      <c r="H128" s="3">
        <v>0</v>
      </c>
      <c r="I128" s="3">
        <f>VLOOKUP(E128,codex!A$1:B$359,2,0)</f>
        <v>0</v>
      </c>
    </row>
    <row r="129" spans="1:9" x14ac:dyDescent="0.25">
      <c r="A129" t="s">
        <v>6</v>
      </c>
      <c r="B129" t="s">
        <v>7</v>
      </c>
      <c r="C129" t="s">
        <v>371</v>
      </c>
      <c r="D129" t="s">
        <v>372</v>
      </c>
      <c r="E129" t="str">
        <f t="shared" si="1"/>
        <v>com.github.javaparser.ast.type.PrimitiveType</v>
      </c>
      <c r="F129" t="s">
        <v>373</v>
      </c>
      <c r="G129" s="3">
        <v>494</v>
      </c>
      <c r="H129" s="3">
        <v>1</v>
      </c>
      <c r="I129" s="3">
        <f>VLOOKUP(E129,codex!A$1:B$359,2,0)</f>
        <v>0</v>
      </c>
    </row>
    <row r="130" spans="1:9" x14ac:dyDescent="0.25">
      <c r="A130" t="s">
        <v>11</v>
      </c>
      <c r="B130" t="s">
        <v>7</v>
      </c>
      <c r="C130" t="s">
        <v>374</v>
      </c>
      <c r="D130" t="s">
        <v>375</v>
      </c>
      <c r="E130" t="str">
        <f t="shared" si="1"/>
        <v>net.bytebuddy.utility.AsmClassWriter.Suppressing</v>
      </c>
      <c r="F130" t="s">
        <v>376</v>
      </c>
      <c r="G130" s="3">
        <v>344</v>
      </c>
      <c r="H130" s="3">
        <v>0</v>
      </c>
      <c r="I130" s="3">
        <f>VLOOKUP(E130,codex!A$1:B$359,2,0)</f>
        <v>0</v>
      </c>
    </row>
    <row r="131" spans="1:9" x14ac:dyDescent="0.25">
      <c r="A131" t="s">
        <v>89</v>
      </c>
      <c r="B131" t="s">
        <v>7</v>
      </c>
      <c r="C131" t="s">
        <v>194</v>
      </c>
      <c r="D131" t="s">
        <v>377</v>
      </c>
      <c r="E131" t="str">
        <f t="shared" ref="E131:E194" si="2">C131&amp;"."&amp;D131</f>
        <v>org.apache.commons.lang3.mutable.MutableFloat</v>
      </c>
      <c r="F131" t="s">
        <v>378</v>
      </c>
      <c r="G131" s="3">
        <v>329</v>
      </c>
      <c r="H131" s="3">
        <v>1</v>
      </c>
      <c r="I131" s="3">
        <f>VLOOKUP(E131,codex!A$1:B$359,2,0)</f>
        <v>0</v>
      </c>
    </row>
    <row r="132" spans="1:9" x14ac:dyDescent="0.25">
      <c r="A132" t="s">
        <v>11</v>
      </c>
      <c r="B132" t="s">
        <v>7</v>
      </c>
      <c r="C132" t="s">
        <v>379</v>
      </c>
      <c r="D132" t="s">
        <v>380</v>
      </c>
      <c r="E132" t="str">
        <f t="shared" si="2"/>
        <v>net.bytebuddy.utility.privilege.GetSystemPropertyAction</v>
      </c>
      <c r="F132" t="s">
        <v>381</v>
      </c>
      <c r="G132" s="3">
        <v>349</v>
      </c>
      <c r="H132" s="3">
        <v>0</v>
      </c>
      <c r="I132" s="3">
        <f>VLOOKUP(E132,codex!A$1:B$359,2,0)</f>
        <v>0</v>
      </c>
    </row>
    <row r="133" spans="1:9" x14ac:dyDescent="0.25">
      <c r="A133" t="s">
        <v>11</v>
      </c>
      <c r="B133" t="s">
        <v>7</v>
      </c>
      <c r="C133" t="s">
        <v>214</v>
      </c>
      <c r="D133" t="s">
        <v>382</v>
      </c>
      <c r="E133" t="str">
        <f t="shared" si="2"/>
        <v>net.bytebuddy.agent.ByteBuddyAgent.AgentProvider</v>
      </c>
      <c r="F133" t="s">
        <v>383</v>
      </c>
      <c r="G133" s="3">
        <v>341</v>
      </c>
      <c r="H133" s="3">
        <v>0</v>
      </c>
      <c r="I133" s="3">
        <f>VLOOKUP(E133,codex!A$1:B$359,2,0)</f>
        <v>0</v>
      </c>
    </row>
    <row r="134" spans="1:9" x14ac:dyDescent="0.25">
      <c r="A134" t="s">
        <v>11</v>
      </c>
      <c r="B134" t="s">
        <v>7</v>
      </c>
      <c r="C134" t="s">
        <v>200</v>
      </c>
      <c r="D134" t="s">
        <v>384</v>
      </c>
      <c r="E134" t="str">
        <f t="shared" si="2"/>
        <v>net.bytebuddy.build.Plugin.Source</v>
      </c>
      <c r="F134" t="s">
        <v>385</v>
      </c>
      <c r="G134" s="3">
        <v>372</v>
      </c>
      <c r="H134" s="3">
        <v>0</v>
      </c>
      <c r="I134" s="3">
        <f>VLOOKUP(E134,codex!A$1:B$359,2,0)</f>
        <v>1</v>
      </c>
    </row>
    <row r="135" spans="1:9" x14ac:dyDescent="0.25">
      <c r="A135" t="s">
        <v>11</v>
      </c>
      <c r="B135" t="s">
        <v>7</v>
      </c>
      <c r="C135" t="s">
        <v>386</v>
      </c>
      <c r="D135" t="s">
        <v>387</v>
      </c>
      <c r="E135" t="str">
        <f t="shared" si="2"/>
        <v>net.bytebuddy.utility.StreamDrainer</v>
      </c>
      <c r="F135" t="s">
        <v>388</v>
      </c>
      <c r="G135" s="3">
        <v>347</v>
      </c>
      <c r="H135" s="3">
        <v>0</v>
      </c>
      <c r="I135" s="3">
        <f>VLOOKUP(E135,codex!A$1:B$359,2,0)</f>
        <v>0</v>
      </c>
    </row>
    <row r="136" spans="1:9" x14ac:dyDescent="0.25">
      <c r="A136" t="s">
        <v>6</v>
      </c>
      <c r="B136" t="s">
        <v>7</v>
      </c>
      <c r="C136" t="s">
        <v>389</v>
      </c>
      <c r="D136" t="s">
        <v>390</v>
      </c>
      <c r="E136" t="str">
        <f t="shared" si="2"/>
        <v>com.github.javaparser.javasymbolsolver.javassist.symbols.main.jar.InterfaceUserOwnJar</v>
      </c>
      <c r="F136" t="s">
        <v>391</v>
      </c>
      <c r="G136" s="3">
        <v>369</v>
      </c>
      <c r="H136" s="3">
        <v>0</v>
      </c>
      <c r="I136" s="3">
        <f>VLOOKUP(E136,codex!A$1:B$359,2,0)</f>
        <v>0</v>
      </c>
    </row>
    <row r="137" spans="1:9" x14ac:dyDescent="0.25">
      <c r="A137" t="s">
        <v>11</v>
      </c>
      <c r="B137" t="s">
        <v>7</v>
      </c>
      <c r="C137" t="s">
        <v>392</v>
      </c>
      <c r="D137" t="s">
        <v>393</v>
      </c>
      <c r="E137" t="str">
        <f t="shared" si="2"/>
        <v>net.bytebuddy.build.maven.Initialization</v>
      </c>
      <c r="F137" t="s">
        <v>394</v>
      </c>
      <c r="G137" s="3">
        <v>348</v>
      </c>
      <c r="H137" s="3">
        <v>0</v>
      </c>
      <c r="I137" s="3">
        <f>VLOOKUP(E137,codex!A$1:B$359,2,0)</f>
        <v>0</v>
      </c>
    </row>
    <row r="138" spans="1:9" x14ac:dyDescent="0.25">
      <c r="A138" t="s">
        <v>11</v>
      </c>
      <c r="B138" t="s">
        <v>7</v>
      </c>
      <c r="C138" t="s">
        <v>395</v>
      </c>
      <c r="D138" t="s">
        <v>396</v>
      </c>
      <c r="E138" t="str">
        <f t="shared" si="2"/>
        <v>net.bytebuddy.implementation.attribute.AnnotationValueFilter</v>
      </c>
      <c r="F138" t="s">
        <v>397</v>
      </c>
      <c r="G138" s="3">
        <v>353</v>
      </c>
      <c r="H138" s="3">
        <v>0</v>
      </c>
      <c r="I138" s="3">
        <f>VLOOKUP(E138,codex!A$1:B$359,2,0)</f>
        <v>0</v>
      </c>
    </row>
    <row r="139" spans="1:9" x14ac:dyDescent="0.25">
      <c r="A139" t="s">
        <v>6</v>
      </c>
      <c r="B139" t="s">
        <v>7</v>
      </c>
      <c r="C139" t="s">
        <v>398</v>
      </c>
      <c r="D139" t="s">
        <v>399</v>
      </c>
      <c r="E139" t="str">
        <f t="shared" si="2"/>
        <v>main.Clazz.MyEnum</v>
      </c>
      <c r="F139" t="s">
        <v>400</v>
      </c>
      <c r="G139" s="3">
        <v>336</v>
      </c>
      <c r="H139" s="3">
        <v>0</v>
      </c>
      <c r="I139" s="3">
        <f>VLOOKUP(E139,codex!A$1:B$359,2,0)</f>
        <v>0</v>
      </c>
    </row>
    <row r="140" spans="1:9" x14ac:dyDescent="0.25">
      <c r="A140" t="s">
        <v>11</v>
      </c>
      <c r="B140" t="s">
        <v>7</v>
      </c>
      <c r="C140" t="s">
        <v>129</v>
      </c>
      <c r="D140" t="s">
        <v>401</v>
      </c>
      <c r="E140" t="str">
        <f t="shared" si="2"/>
        <v>net.bytebuddy.asm.MemberSubstitution.Sort</v>
      </c>
      <c r="F140" t="s">
        <v>402</v>
      </c>
      <c r="G140" s="3">
        <v>349</v>
      </c>
      <c r="H140" s="3">
        <v>0</v>
      </c>
      <c r="I140" s="3">
        <f>VLOOKUP(E140,codex!A$1:B$359,2,0)</f>
        <v>0</v>
      </c>
    </row>
    <row r="141" spans="1:9" x14ac:dyDescent="0.25">
      <c r="A141" t="s">
        <v>11</v>
      </c>
      <c r="B141" t="s">
        <v>7</v>
      </c>
      <c r="C141" t="s">
        <v>309</v>
      </c>
      <c r="D141" t="s">
        <v>403</v>
      </c>
      <c r="E141" t="str">
        <f t="shared" si="2"/>
        <v>net.bytebuddy.implementation.Implementation.FrameGeneration</v>
      </c>
      <c r="F141" t="s">
        <v>404</v>
      </c>
      <c r="G141" s="3">
        <v>332</v>
      </c>
      <c r="H141" s="3">
        <v>0</v>
      </c>
      <c r="I141" s="3">
        <f>VLOOKUP(E141,codex!A$1:B$359,2,0)</f>
        <v>0</v>
      </c>
    </row>
    <row r="142" spans="1:9" x14ac:dyDescent="0.25">
      <c r="A142" t="s">
        <v>6</v>
      </c>
      <c r="B142" t="s">
        <v>7</v>
      </c>
      <c r="C142" t="s">
        <v>405</v>
      </c>
      <c r="D142" t="s">
        <v>406</v>
      </c>
      <c r="E142" t="str">
        <f t="shared" si="2"/>
        <v>com.github.javaparser.printer.lexicalpreservation.ReshuffledDiffElementExtractor.MatchClassification</v>
      </c>
      <c r="F142" t="s">
        <v>407</v>
      </c>
      <c r="G142" s="3">
        <v>354</v>
      </c>
      <c r="H142" s="3">
        <v>0</v>
      </c>
      <c r="I142" s="3">
        <f>VLOOKUP(E142,codex!A$1:B$359,2,0)</f>
        <v>0</v>
      </c>
    </row>
    <row r="143" spans="1:9" x14ac:dyDescent="0.25">
      <c r="A143" t="s">
        <v>11</v>
      </c>
      <c r="B143" t="s">
        <v>7</v>
      </c>
      <c r="C143" t="s">
        <v>408</v>
      </c>
      <c r="D143" t="s">
        <v>401</v>
      </c>
      <c r="E143" t="str">
        <f t="shared" si="2"/>
        <v>net.bytebuddy.build.HashCodeAndEqualsPlugin.Sort</v>
      </c>
      <c r="F143" t="s">
        <v>409</v>
      </c>
      <c r="G143" s="3">
        <v>337</v>
      </c>
      <c r="H143" s="3">
        <v>0</v>
      </c>
      <c r="I143" s="3">
        <f>VLOOKUP(E143,codex!A$1:B$359,2,0)</f>
        <v>0</v>
      </c>
    </row>
    <row r="144" spans="1:9" x14ac:dyDescent="0.25">
      <c r="A144" t="s">
        <v>41</v>
      </c>
      <c r="B144" t="s">
        <v>7</v>
      </c>
      <c r="C144" t="s">
        <v>410</v>
      </c>
      <c r="D144" t="s">
        <v>411</v>
      </c>
      <c r="E144" t="str">
        <f t="shared" si="2"/>
        <v>org.adoptopenjdk.jitwatch.ui.Dialogs.Dialog</v>
      </c>
      <c r="F144" t="s">
        <v>412</v>
      </c>
      <c r="G144" s="3">
        <v>332</v>
      </c>
      <c r="H144" s="3">
        <v>0</v>
      </c>
      <c r="I144" s="3">
        <f>VLOOKUP(E144,codex!A$1:B$359,2,0)</f>
        <v>0</v>
      </c>
    </row>
    <row r="145" spans="1:9" x14ac:dyDescent="0.25">
      <c r="A145" t="s">
        <v>89</v>
      </c>
      <c r="B145" t="s">
        <v>7</v>
      </c>
      <c r="C145" t="s">
        <v>261</v>
      </c>
      <c r="D145" t="s">
        <v>413</v>
      </c>
      <c r="E145" t="str">
        <f t="shared" si="2"/>
        <v>org.apache.commons.lang3.exception.CloneFailedException</v>
      </c>
      <c r="F145" t="s">
        <v>414</v>
      </c>
      <c r="G145" s="3">
        <v>330</v>
      </c>
      <c r="H145" s="3">
        <v>0</v>
      </c>
      <c r="I145" s="3">
        <f>VLOOKUP(E145,codex!A$1:B$359,2,0)</f>
        <v>0</v>
      </c>
    </row>
    <row r="146" spans="1:9" x14ac:dyDescent="0.25">
      <c r="A146" t="s">
        <v>6</v>
      </c>
      <c r="B146" t="s">
        <v>7</v>
      </c>
      <c r="C146" t="s">
        <v>233</v>
      </c>
      <c r="D146" t="s">
        <v>415</v>
      </c>
      <c r="E146" t="str">
        <f t="shared" si="2"/>
        <v>com.github.javaparser.metamodel.TypeParameterMetaModel</v>
      </c>
      <c r="F146" t="s">
        <v>416</v>
      </c>
      <c r="G146" s="3">
        <v>347</v>
      </c>
      <c r="H146" s="3">
        <v>0</v>
      </c>
      <c r="I146" s="3">
        <f>VLOOKUP(E146,codex!A$1:B$359,2,0)</f>
        <v>0</v>
      </c>
    </row>
    <row r="147" spans="1:9" x14ac:dyDescent="0.25">
      <c r="A147" t="s">
        <v>31</v>
      </c>
      <c r="B147" t="s">
        <v>7</v>
      </c>
      <c r="C147" t="s">
        <v>417</v>
      </c>
      <c r="D147" t="s">
        <v>418</v>
      </c>
      <c r="E147" t="str">
        <f t="shared" si="2"/>
        <v>com.google.zxing.datamatrix.decoder.DataBlock</v>
      </c>
      <c r="F147" t="s">
        <v>419</v>
      </c>
      <c r="G147" s="3">
        <v>339</v>
      </c>
      <c r="H147" s="3">
        <v>0</v>
      </c>
      <c r="I147" s="3">
        <f>VLOOKUP(E147,codex!A$1:B$359,2,0)</f>
        <v>0</v>
      </c>
    </row>
    <row r="148" spans="1:9" x14ac:dyDescent="0.25">
      <c r="A148" t="s">
        <v>11</v>
      </c>
      <c r="B148" t="s">
        <v>7</v>
      </c>
      <c r="C148" t="s">
        <v>105</v>
      </c>
      <c r="D148" t="s">
        <v>420</v>
      </c>
      <c r="E148" t="str">
        <f t="shared" si="2"/>
        <v>net.bytebuddy.description.modifier.Ownership</v>
      </c>
      <c r="F148" t="s">
        <v>421</v>
      </c>
      <c r="G148" s="3">
        <v>342</v>
      </c>
      <c r="H148" s="3">
        <v>0</v>
      </c>
      <c r="I148" s="3">
        <f>VLOOKUP(E148,codex!A$1:B$359,2,0)</f>
        <v>0</v>
      </c>
    </row>
    <row r="149" spans="1:9" x14ac:dyDescent="0.25">
      <c r="A149" t="s">
        <v>11</v>
      </c>
      <c r="B149" t="s">
        <v>7</v>
      </c>
      <c r="C149" t="s">
        <v>303</v>
      </c>
      <c r="D149" t="s">
        <v>422</v>
      </c>
      <c r="E149" t="str">
        <f t="shared" si="2"/>
        <v>net.bytebuddy.description.method.MethodDescription.ForLoadedExecutable</v>
      </c>
      <c r="F149" t="s">
        <v>423</v>
      </c>
      <c r="G149" s="3">
        <v>362</v>
      </c>
      <c r="H149" s="3">
        <v>0</v>
      </c>
      <c r="I149" s="3">
        <f>VLOOKUP(E149,codex!A$1:B$359,2,0)</f>
        <v>0</v>
      </c>
    </row>
    <row r="150" spans="1:9" x14ac:dyDescent="0.25">
      <c r="A150" t="s">
        <v>11</v>
      </c>
      <c r="B150" t="s">
        <v>7</v>
      </c>
      <c r="C150" t="s">
        <v>368</v>
      </c>
      <c r="D150" t="s">
        <v>424</v>
      </c>
      <c r="E150" t="str">
        <f t="shared" si="2"/>
        <v>net.bytebuddy.utility.dispatcher.JavaDispatcher.CreationAction</v>
      </c>
      <c r="F150" t="s">
        <v>425</v>
      </c>
      <c r="G150" s="3">
        <v>339</v>
      </c>
      <c r="H150" s="3">
        <v>0</v>
      </c>
      <c r="I150" s="3">
        <f>VLOOKUP(E150,codex!A$1:B$359,2,0)</f>
        <v>0</v>
      </c>
    </row>
    <row r="151" spans="1:9" x14ac:dyDescent="0.25">
      <c r="A151" t="s">
        <v>41</v>
      </c>
      <c r="B151" t="s">
        <v>7</v>
      </c>
      <c r="C151" t="s">
        <v>426</v>
      </c>
      <c r="D151" t="s">
        <v>427</v>
      </c>
      <c r="E151" t="str">
        <f t="shared" si="2"/>
        <v>org.adoptopenjdk.jitwatch.parser.ParserFactory</v>
      </c>
      <c r="F151" t="s">
        <v>428</v>
      </c>
      <c r="G151" s="3">
        <v>373</v>
      </c>
      <c r="H151" s="3">
        <v>0</v>
      </c>
      <c r="I151" s="3">
        <f>VLOOKUP(E151,codex!A$1:B$359,2,0)</f>
        <v>0</v>
      </c>
    </row>
    <row r="152" spans="1:9" x14ac:dyDescent="0.25">
      <c r="A152" t="s">
        <v>24</v>
      </c>
      <c r="B152" t="s">
        <v>7</v>
      </c>
      <c r="C152" t="s">
        <v>66</v>
      </c>
      <c r="D152" t="s">
        <v>429</v>
      </c>
      <c r="E152" t="str">
        <f t="shared" si="2"/>
        <v>org.apache.commons.io.output.ProxyOutputStream</v>
      </c>
      <c r="F152" t="s">
        <v>430</v>
      </c>
      <c r="G152" s="3">
        <v>345</v>
      </c>
      <c r="H152" s="3">
        <v>0</v>
      </c>
      <c r="I152" s="3">
        <f>VLOOKUP(E152,codex!A$1:B$359,2,0)</f>
        <v>0</v>
      </c>
    </row>
    <row r="153" spans="1:9" x14ac:dyDescent="0.25">
      <c r="A153" t="s">
        <v>41</v>
      </c>
      <c r="B153" t="s">
        <v>7</v>
      </c>
      <c r="C153" t="s">
        <v>431</v>
      </c>
      <c r="D153" t="s">
        <v>432</v>
      </c>
      <c r="E153" t="str">
        <f t="shared" si="2"/>
        <v>org.adoptopenjdk.jitwatch.util.StringUtil</v>
      </c>
      <c r="F153" t="s">
        <v>433</v>
      </c>
      <c r="G153" s="3">
        <v>337</v>
      </c>
      <c r="H153" s="3">
        <v>1</v>
      </c>
      <c r="I153" s="3">
        <f>VLOOKUP(E153,codex!A$1:B$359,2,0)</f>
        <v>1</v>
      </c>
    </row>
    <row r="154" spans="1:9" x14ac:dyDescent="0.25">
      <c r="A154" t="s">
        <v>6</v>
      </c>
      <c r="B154" t="s">
        <v>7</v>
      </c>
      <c r="C154" t="s">
        <v>434</v>
      </c>
      <c r="D154" t="s">
        <v>435</v>
      </c>
      <c r="E154" t="str">
        <f t="shared" si="2"/>
        <v>com.github.javaparser.Range</v>
      </c>
      <c r="F154" t="s">
        <v>436</v>
      </c>
      <c r="G154" s="3">
        <v>340</v>
      </c>
      <c r="H154" s="3">
        <v>1</v>
      </c>
      <c r="I154" s="3">
        <f>VLOOKUP(E154,codex!A$1:B$359,2,0)</f>
        <v>0</v>
      </c>
    </row>
    <row r="155" spans="1:9" x14ac:dyDescent="0.25">
      <c r="A155" t="s">
        <v>168</v>
      </c>
      <c r="B155" t="s">
        <v>7</v>
      </c>
      <c r="C155" t="s">
        <v>437</v>
      </c>
      <c r="D155" t="s">
        <v>438</v>
      </c>
      <c r="E155" t="str">
        <f t="shared" si="2"/>
        <v>com.google.googlejavaformat.java.Main</v>
      </c>
      <c r="F155" t="s">
        <v>439</v>
      </c>
      <c r="G155" s="3">
        <v>384</v>
      </c>
      <c r="H155" s="3">
        <v>0</v>
      </c>
      <c r="I155" s="3">
        <f>VLOOKUP(E155,codex!A$1:B$359,2,0)</f>
        <v>0</v>
      </c>
    </row>
    <row r="156" spans="1:9" x14ac:dyDescent="0.25">
      <c r="A156" t="s">
        <v>11</v>
      </c>
      <c r="B156" t="s">
        <v>7</v>
      </c>
      <c r="C156" t="s">
        <v>440</v>
      </c>
      <c r="D156" t="s">
        <v>441</v>
      </c>
      <c r="E156" t="str">
        <f t="shared" si="2"/>
        <v>net.bytebuddy.dynamic.loading.PackageDefinitionStrategy</v>
      </c>
      <c r="F156" t="s">
        <v>442</v>
      </c>
      <c r="G156" s="3">
        <v>408</v>
      </c>
      <c r="H156" s="3">
        <v>0</v>
      </c>
      <c r="I156" s="3">
        <f>VLOOKUP(E156,codex!A$1:B$359,2,0)</f>
        <v>0</v>
      </c>
    </row>
    <row r="157" spans="1:9" x14ac:dyDescent="0.25">
      <c r="A157" t="s">
        <v>24</v>
      </c>
      <c r="B157" t="s">
        <v>7</v>
      </c>
      <c r="C157" t="s">
        <v>443</v>
      </c>
      <c r="D157" t="s">
        <v>444</v>
      </c>
      <c r="E157" t="str">
        <f t="shared" si="2"/>
        <v>org.apache.commons.io.monitor.FileAlterationListener</v>
      </c>
      <c r="F157" t="s">
        <v>445</v>
      </c>
      <c r="G157" s="3">
        <v>339</v>
      </c>
      <c r="H157" s="3">
        <v>0</v>
      </c>
      <c r="I157" s="3">
        <f>VLOOKUP(E157,codex!A$1:B$359,2,0)</f>
        <v>0</v>
      </c>
    </row>
    <row r="158" spans="1:9" x14ac:dyDescent="0.25">
      <c r="A158" t="s">
        <v>6</v>
      </c>
      <c r="B158" t="s">
        <v>7</v>
      </c>
      <c r="C158" t="s">
        <v>446</v>
      </c>
      <c r="D158" t="s">
        <v>447</v>
      </c>
      <c r="E158" t="str">
        <f t="shared" si="2"/>
        <v>com.github.javaparser.ast.validator.postprocessors.Java17PostProcessor</v>
      </c>
      <c r="F158" t="s">
        <v>448</v>
      </c>
      <c r="G158" s="3">
        <v>345</v>
      </c>
      <c r="H158" s="3">
        <v>0</v>
      </c>
      <c r="I158" s="3">
        <f>VLOOKUP(E158,codex!A$1:B$359,2,0)</f>
        <v>0</v>
      </c>
    </row>
    <row r="159" spans="1:9" x14ac:dyDescent="0.25">
      <c r="A159" t="s">
        <v>24</v>
      </c>
      <c r="B159" t="s">
        <v>7</v>
      </c>
      <c r="C159" t="s">
        <v>449</v>
      </c>
      <c r="D159" t="s">
        <v>58</v>
      </c>
      <c r="E159" t="str">
        <f t="shared" si="2"/>
        <v>org.apache.commons.io.output.FileWriterWithEncoding.Builder</v>
      </c>
      <c r="F159" t="s">
        <v>450</v>
      </c>
      <c r="G159" s="3">
        <v>330</v>
      </c>
      <c r="H159" s="3">
        <v>0</v>
      </c>
      <c r="I159" s="3">
        <f>VLOOKUP(E159,codex!A$1:B$359,2,0)</f>
        <v>0</v>
      </c>
    </row>
    <row r="160" spans="1:9" x14ac:dyDescent="0.25">
      <c r="A160" t="s">
        <v>89</v>
      </c>
      <c r="B160" t="s">
        <v>7</v>
      </c>
      <c r="C160" t="s">
        <v>451</v>
      </c>
      <c r="D160" t="s">
        <v>452</v>
      </c>
      <c r="E160" t="str">
        <f t="shared" si="2"/>
        <v>org.apache.commons.lang3.time.FastDateParser.NumberStrategy</v>
      </c>
      <c r="F160" t="s">
        <v>453</v>
      </c>
      <c r="G160" s="3">
        <v>331</v>
      </c>
      <c r="H160" s="3">
        <v>0</v>
      </c>
      <c r="I160" s="3">
        <f>VLOOKUP(E160,codex!A$1:B$359,2,0)</f>
        <v>0</v>
      </c>
    </row>
    <row r="161" spans="1:9" x14ac:dyDescent="0.25">
      <c r="A161" t="s">
        <v>89</v>
      </c>
      <c r="B161" t="s">
        <v>7</v>
      </c>
      <c r="C161" t="s">
        <v>454</v>
      </c>
      <c r="D161" t="s">
        <v>455</v>
      </c>
      <c r="E161" t="str">
        <f t="shared" si="2"/>
        <v>org.apache.commons.lang3.time.FastDateFormat</v>
      </c>
      <c r="F161" t="s">
        <v>456</v>
      </c>
      <c r="G161" s="3">
        <v>365</v>
      </c>
      <c r="H161" s="3">
        <v>1</v>
      </c>
      <c r="I161" s="3">
        <f>VLOOKUP(E161,codex!A$1:B$359,2,0)</f>
        <v>0</v>
      </c>
    </row>
    <row r="162" spans="1:9" x14ac:dyDescent="0.25">
      <c r="A162" t="s">
        <v>6</v>
      </c>
      <c r="B162" t="s">
        <v>7</v>
      </c>
      <c r="C162" t="s">
        <v>457</v>
      </c>
      <c r="D162" t="s">
        <v>458</v>
      </c>
      <c r="E162" t="str">
        <f t="shared" si="2"/>
        <v>com.github.javaparser.ast.validator.language.level.validations.Java16Validator</v>
      </c>
      <c r="F162" t="s">
        <v>459</v>
      </c>
      <c r="G162" s="3">
        <v>348</v>
      </c>
      <c r="H162" s="3">
        <v>0</v>
      </c>
      <c r="I162" s="3">
        <f>VLOOKUP(E162,codex!A$1:B$359,2,0)</f>
        <v>0</v>
      </c>
    </row>
    <row r="163" spans="1:9" x14ac:dyDescent="0.25">
      <c r="A163" t="s">
        <v>31</v>
      </c>
      <c r="B163" t="s">
        <v>7</v>
      </c>
      <c r="C163" t="s">
        <v>460</v>
      </c>
      <c r="D163" t="s">
        <v>461</v>
      </c>
      <c r="E163" t="str">
        <f t="shared" si="2"/>
        <v>com.google.zxing.client.result.AddressBookDoCoMoResultParser</v>
      </c>
      <c r="F163" t="s">
        <v>462</v>
      </c>
      <c r="G163" s="3">
        <v>353</v>
      </c>
      <c r="H163" s="3">
        <v>0</v>
      </c>
      <c r="I163" s="3">
        <f>VLOOKUP(E163,codex!A$1:B$359,2,0)</f>
        <v>0</v>
      </c>
    </row>
    <row r="164" spans="1:9" x14ac:dyDescent="0.25">
      <c r="A164" t="s">
        <v>31</v>
      </c>
      <c r="B164" t="s">
        <v>7</v>
      </c>
      <c r="C164" t="s">
        <v>282</v>
      </c>
      <c r="D164" t="s">
        <v>463</v>
      </c>
      <c r="E164" t="str">
        <f t="shared" si="2"/>
        <v>com.google.zxing.common.BitMatrix</v>
      </c>
      <c r="F164" t="s">
        <v>464</v>
      </c>
      <c r="G164" s="3">
        <v>335</v>
      </c>
      <c r="H164" s="3">
        <v>1</v>
      </c>
      <c r="I164" s="3">
        <f>VLOOKUP(E164,codex!A$1:B$359,2,0)</f>
        <v>0</v>
      </c>
    </row>
    <row r="165" spans="1:9" x14ac:dyDescent="0.25">
      <c r="A165" t="s">
        <v>11</v>
      </c>
      <c r="B165" t="s">
        <v>7</v>
      </c>
      <c r="C165" t="s">
        <v>129</v>
      </c>
      <c r="D165" t="s">
        <v>384</v>
      </c>
      <c r="E165" t="str">
        <f t="shared" si="2"/>
        <v>net.bytebuddy.asm.MemberSubstitution.Source</v>
      </c>
      <c r="F165" t="s">
        <v>465</v>
      </c>
      <c r="G165" s="3">
        <v>378</v>
      </c>
      <c r="H165" s="3">
        <v>0</v>
      </c>
      <c r="I165" s="3">
        <f>VLOOKUP(E165,codex!A$1:B$359,2,0)</f>
        <v>0</v>
      </c>
    </row>
    <row r="166" spans="1:9" x14ac:dyDescent="0.25">
      <c r="A166" t="s">
        <v>6</v>
      </c>
      <c r="B166" t="s">
        <v>7</v>
      </c>
      <c r="C166" t="s">
        <v>466</v>
      </c>
      <c r="D166" t="s">
        <v>467</v>
      </c>
      <c r="E166" t="str">
        <f t="shared" si="2"/>
        <v>com.github.javaparser.utils.Log.StandardOutStandardErrorAdapter</v>
      </c>
      <c r="F166" t="s">
        <v>468</v>
      </c>
      <c r="G166" s="3">
        <v>336</v>
      </c>
      <c r="H166" s="3">
        <v>0</v>
      </c>
      <c r="I166" s="3">
        <f>VLOOKUP(E166,codex!A$1:B$359,2,0)</f>
        <v>0</v>
      </c>
    </row>
    <row r="167" spans="1:9" x14ac:dyDescent="0.25">
      <c r="A167" t="s">
        <v>85</v>
      </c>
      <c r="B167" t="s">
        <v>7</v>
      </c>
      <c r="C167" t="s">
        <v>469</v>
      </c>
      <c r="D167" t="s">
        <v>470</v>
      </c>
      <c r="E167" t="str">
        <f t="shared" si="2"/>
        <v>com.google.gson.internal.TroubleshootingGuide</v>
      </c>
      <c r="F167" t="s">
        <v>471</v>
      </c>
      <c r="G167" s="3">
        <v>328</v>
      </c>
      <c r="H167" s="3">
        <v>0</v>
      </c>
      <c r="I167" s="3">
        <f>VLOOKUP(E167,codex!A$1:B$359,2,0)</f>
        <v>0</v>
      </c>
    </row>
    <row r="168" spans="1:9" x14ac:dyDescent="0.25">
      <c r="A168" t="s">
        <v>11</v>
      </c>
      <c r="B168" t="s">
        <v>7</v>
      </c>
      <c r="C168" t="s">
        <v>186</v>
      </c>
      <c r="D168" t="s">
        <v>472</v>
      </c>
      <c r="E168" t="str">
        <f t="shared" si="2"/>
        <v>net.bytebuddy.pool.TypePool.ForType</v>
      </c>
      <c r="F168" t="s">
        <v>473</v>
      </c>
      <c r="G168" s="3">
        <v>351</v>
      </c>
      <c r="H168" s="3">
        <v>0</v>
      </c>
      <c r="I168" s="3">
        <f>VLOOKUP(E168,codex!A$1:B$359,2,0)</f>
        <v>0</v>
      </c>
    </row>
    <row r="169" spans="1:9" x14ac:dyDescent="0.25">
      <c r="A169" t="s">
        <v>41</v>
      </c>
      <c r="B169" t="s">
        <v>7</v>
      </c>
      <c r="C169" t="s">
        <v>474</v>
      </c>
      <c r="D169" t="s">
        <v>475</v>
      </c>
      <c r="E169" t="str">
        <f t="shared" si="2"/>
        <v>org.adoptopenjdk.jitwatch.process.compiler.CompilerJava</v>
      </c>
      <c r="F169" t="s">
        <v>476</v>
      </c>
      <c r="G169" s="3">
        <v>347</v>
      </c>
      <c r="H169" s="3">
        <v>0</v>
      </c>
      <c r="I169" s="3">
        <f>VLOOKUP(E169,codex!A$1:B$359,2,0)</f>
        <v>0</v>
      </c>
    </row>
    <row r="170" spans="1:9" x14ac:dyDescent="0.25">
      <c r="A170" t="s">
        <v>6</v>
      </c>
      <c r="B170" t="s">
        <v>7</v>
      </c>
      <c r="C170" t="s">
        <v>477</v>
      </c>
      <c r="D170" t="s">
        <v>478</v>
      </c>
      <c r="E170" t="str">
        <f t="shared" si="2"/>
        <v>(default package).InnerClassDotExpressions.InnerClass</v>
      </c>
      <c r="F170" t="s">
        <v>479</v>
      </c>
      <c r="G170" s="3">
        <v>339</v>
      </c>
      <c r="H170" s="3">
        <v>0</v>
      </c>
      <c r="I170" s="3">
        <f>VLOOKUP(E170,codex!A$1:B$359,2,0)</f>
        <v>0</v>
      </c>
    </row>
    <row r="171" spans="1:9" x14ac:dyDescent="0.25">
      <c r="A171" t="s">
        <v>31</v>
      </c>
      <c r="B171" t="s">
        <v>7</v>
      </c>
      <c r="C171" t="s">
        <v>480</v>
      </c>
      <c r="D171" t="s">
        <v>481</v>
      </c>
      <c r="E171" t="str">
        <f t="shared" si="2"/>
        <v>com.google.zxing.client.j2se.MatrixToImageConfig</v>
      </c>
      <c r="F171" t="s">
        <v>482</v>
      </c>
      <c r="G171" s="3">
        <v>334</v>
      </c>
      <c r="H171" s="3">
        <v>0</v>
      </c>
      <c r="I171" s="3">
        <f>VLOOKUP(E171,codex!A$1:B$359,2,0)</f>
        <v>0</v>
      </c>
    </row>
    <row r="172" spans="1:9" x14ac:dyDescent="0.25">
      <c r="A172" t="s">
        <v>11</v>
      </c>
      <c r="B172" t="s">
        <v>7</v>
      </c>
      <c r="C172" t="s">
        <v>245</v>
      </c>
      <c r="D172" t="s">
        <v>483</v>
      </c>
      <c r="E172" t="str">
        <f t="shared" si="2"/>
        <v>net.bytebuddy.description.type.PackageDescription</v>
      </c>
      <c r="F172" t="s">
        <v>484</v>
      </c>
      <c r="G172" s="3">
        <v>357</v>
      </c>
      <c r="H172" s="3">
        <v>0</v>
      </c>
      <c r="I172" s="3">
        <f>VLOOKUP(E172,codex!A$1:B$359,2,0)</f>
        <v>0</v>
      </c>
    </row>
    <row r="173" spans="1:9" x14ac:dyDescent="0.25">
      <c r="A173" t="s">
        <v>11</v>
      </c>
      <c r="B173" t="s">
        <v>7</v>
      </c>
      <c r="C173" t="s">
        <v>259</v>
      </c>
      <c r="D173" t="s">
        <v>485</v>
      </c>
      <c r="E173" t="str">
        <f t="shared" si="2"/>
        <v>net.bytebuddy.agent.VirtualMachine.SecurityAttributes</v>
      </c>
      <c r="F173" t="s">
        <v>486</v>
      </c>
      <c r="G173" s="3">
        <v>332</v>
      </c>
      <c r="H173" s="3">
        <v>0</v>
      </c>
      <c r="I173" s="3">
        <f>VLOOKUP(E173,codex!A$1:B$359,2,0)</f>
        <v>0</v>
      </c>
    </row>
    <row r="174" spans="1:9" x14ac:dyDescent="0.25">
      <c r="A174" t="s">
        <v>11</v>
      </c>
      <c r="B174" t="s">
        <v>7</v>
      </c>
      <c r="C174" t="s">
        <v>217</v>
      </c>
      <c r="D174" t="s">
        <v>487</v>
      </c>
      <c r="E174" t="str">
        <f t="shared" si="2"/>
        <v>net.bytebuddy.dynamic.scaffold.TypeWriter.ForImplicitRecordComponent</v>
      </c>
      <c r="F174" t="s">
        <v>488</v>
      </c>
      <c r="G174" s="3">
        <v>381</v>
      </c>
      <c r="H174" s="3">
        <v>0</v>
      </c>
      <c r="I174" s="3">
        <f>VLOOKUP(E174,codex!A$1:B$359,2,0)</f>
        <v>0</v>
      </c>
    </row>
    <row r="175" spans="1:9" x14ac:dyDescent="0.25">
      <c r="A175" t="s">
        <v>11</v>
      </c>
      <c r="B175" t="s">
        <v>7</v>
      </c>
      <c r="C175" t="s">
        <v>489</v>
      </c>
      <c r="D175" t="s">
        <v>490</v>
      </c>
      <c r="E175" t="str">
        <f t="shared" si="2"/>
        <v>org.gradle.api.file.DirectoryProperty</v>
      </c>
      <c r="F175" t="s">
        <v>491</v>
      </c>
      <c r="G175" s="3">
        <v>340</v>
      </c>
      <c r="H175" s="3">
        <v>0</v>
      </c>
      <c r="I175" s="3">
        <f>VLOOKUP(E175,codex!A$1:B$359,2,0)</f>
        <v>0</v>
      </c>
    </row>
    <row r="176" spans="1:9" x14ac:dyDescent="0.25">
      <c r="A176" t="s">
        <v>75</v>
      </c>
      <c r="B176" t="s">
        <v>7</v>
      </c>
      <c r="C176" t="s">
        <v>492</v>
      </c>
      <c r="D176" t="s">
        <v>493</v>
      </c>
      <c r="E176" t="str">
        <f t="shared" si="2"/>
        <v>com.google.common.jimfs.JimfsFileStore</v>
      </c>
      <c r="F176" t="s">
        <v>494</v>
      </c>
      <c r="G176" s="3">
        <v>467</v>
      </c>
      <c r="H176" s="3">
        <v>0</v>
      </c>
      <c r="I176" s="3">
        <f>VLOOKUP(E176,codex!A$1:B$359,2,0)</f>
        <v>0</v>
      </c>
    </row>
    <row r="177" spans="1:9" x14ac:dyDescent="0.25">
      <c r="A177" t="s">
        <v>24</v>
      </c>
      <c r="B177" t="s">
        <v>7</v>
      </c>
      <c r="C177" t="s">
        <v>495</v>
      </c>
      <c r="D177" t="s">
        <v>496</v>
      </c>
      <c r="E177" t="str">
        <f t="shared" si="2"/>
        <v>org.apache.commons.io.DirectoryWalker.CancelException</v>
      </c>
      <c r="F177" t="s">
        <v>497</v>
      </c>
      <c r="G177" s="3">
        <v>326</v>
      </c>
      <c r="H177" s="3">
        <v>0</v>
      </c>
      <c r="I177" s="3">
        <f>VLOOKUP(E177,codex!A$1:B$359,2,0)</f>
        <v>0</v>
      </c>
    </row>
    <row r="178" spans="1:9" x14ac:dyDescent="0.25">
      <c r="A178" t="s">
        <v>85</v>
      </c>
      <c r="B178" t="s">
        <v>7</v>
      </c>
      <c r="C178" t="s">
        <v>267</v>
      </c>
      <c r="D178" t="s">
        <v>498</v>
      </c>
      <c r="E178" t="str">
        <f t="shared" si="2"/>
        <v>com.google.gson.TypeAdapterFactory</v>
      </c>
      <c r="F178" t="s">
        <v>499</v>
      </c>
      <c r="G178" s="3">
        <v>343</v>
      </c>
      <c r="H178" s="3">
        <v>0</v>
      </c>
      <c r="I178" s="3">
        <f>VLOOKUP(E178,codex!A$1:B$359,2,0)</f>
        <v>0</v>
      </c>
    </row>
    <row r="179" spans="1:9" x14ac:dyDescent="0.25">
      <c r="A179" t="s">
        <v>31</v>
      </c>
      <c r="B179" t="s">
        <v>7</v>
      </c>
      <c r="C179" t="s">
        <v>500</v>
      </c>
      <c r="D179" t="s">
        <v>501</v>
      </c>
      <c r="E179" t="str">
        <f t="shared" si="2"/>
        <v>com.google.zxing.client.android.HttpHelper.ContentType</v>
      </c>
      <c r="F179" t="s">
        <v>502</v>
      </c>
      <c r="G179" s="3">
        <v>326</v>
      </c>
      <c r="H179" s="3">
        <v>0</v>
      </c>
      <c r="I179" s="3">
        <f>VLOOKUP(E179,codex!A$1:B$359,2,0)</f>
        <v>0</v>
      </c>
    </row>
    <row r="180" spans="1:9" x14ac:dyDescent="0.25">
      <c r="A180" t="s">
        <v>11</v>
      </c>
      <c r="B180" t="s">
        <v>7</v>
      </c>
      <c r="C180" t="s">
        <v>503</v>
      </c>
      <c r="D180" t="s">
        <v>112</v>
      </c>
      <c r="E180" t="str">
        <f t="shared" si="2"/>
        <v>net.bytebuddy.benchmark.jmh.generated.ClassByImplementationBenchmark.benchmarkJavassist.jmhTest</v>
      </c>
      <c r="F180" t="s">
        <v>504</v>
      </c>
      <c r="G180" s="3">
        <v>4465</v>
      </c>
      <c r="H180" s="3">
        <v>0</v>
      </c>
      <c r="I180" s="3">
        <f>VLOOKUP(E180,codex!A$1:B$359,2,0)</f>
        <v>0</v>
      </c>
    </row>
    <row r="181" spans="1:9" x14ac:dyDescent="0.25">
      <c r="A181" t="s">
        <v>41</v>
      </c>
      <c r="B181" t="s">
        <v>7</v>
      </c>
      <c r="C181" t="s">
        <v>505</v>
      </c>
      <c r="D181" t="s">
        <v>506</v>
      </c>
      <c r="E181" t="str">
        <f t="shared" si="2"/>
        <v>org.adoptopenjdk.jitwatch.parser.zing.ZingLine</v>
      </c>
      <c r="F181" t="s">
        <v>507</v>
      </c>
      <c r="G181" s="3">
        <v>418</v>
      </c>
      <c r="H181" s="3">
        <v>1</v>
      </c>
      <c r="I181" s="3">
        <f>VLOOKUP(E181,codex!A$1:B$359,2,0)</f>
        <v>0</v>
      </c>
    </row>
    <row r="182" spans="1:9" x14ac:dyDescent="0.25">
      <c r="A182" t="s">
        <v>24</v>
      </c>
      <c r="B182" t="s">
        <v>7</v>
      </c>
      <c r="C182" t="s">
        <v>25</v>
      </c>
      <c r="D182" t="s">
        <v>508</v>
      </c>
      <c r="E182" t="str">
        <f t="shared" si="2"/>
        <v>org.apache.commons.io.ByteOrderParser</v>
      </c>
      <c r="F182" t="s">
        <v>509</v>
      </c>
      <c r="G182" s="3">
        <v>326</v>
      </c>
      <c r="H182" s="3">
        <v>0</v>
      </c>
      <c r="I182" s="3">
        <f>VLOOKUP(E182,codex!A$1:B$359,2,0)</f>
        <v>0</v>
      </c>
    </row>
    <row r="183" spans="1:9" x14ac:dyDescent="0.25">
      <c r="A183" t="s">
        <v>11</v>
      </c>
      <c r="B183" t="s">
        <v>7</v>
      </c>
      <c r="C183" t="s">
        <v>510</v>
      </c>
      <c r="D183" t="s">
        <v>511</v>
      </c>
      <c r="E183" t="str">
        <f t="shared" si="2"/>
        <v>net.bytebuddy.NamingStrategy.PrefixingRandom</v>
      </c>
      <c r="F183" t="s">
        <v>512</v>
      </c>
      <c r="G183" s="3">
        <v>349</v>
      </c>
      <c r="H183" s="3">
        <v>0</v>
      </c>
      <c r="I183" s="3">
        <f>VLOOKUP(E183,codex!A$1:B$359,2,0)</f>
        <v>0</v>
      </c>
    </row>
    <row r="184" spans="1:9" x14ac:dyDescent="0.25">
      <c r="A184" t="s">
        <v>11</v>
      </c>
      <c r="B184" t="s">
        <v>7</v>
      </c>
      <c r="C184" t="s">
        <v>217</v>
      </c>
      <c r="D184" t="s">
        <v>513</v>
      </c>
      <c r="E184" t="str">
        <f t="shared" si="2"/>
        <v>net.bytebuddy.dynamic.scaffold.TypeWriter.BridgeTarget</v>
      </c>
      <c r="F184" t="s">
        <v>514</v>
      </c>
      <c r="G184" s="3">
        <v>381</v>
      </c>
      <c r="H184" s="3">
        <v>0</v>
      </c>
      <c r="I184" s="3">
        <f>VLOOKUP(E184,codex!A$1:B$359,2,0)</f>
        <v>0</v>
      </c>
    </row>
    <row r="185" spans="1:9" x14ac:dyDescent="0.25">
      <c r="A185" t="s">
        <v>11</v>
      </c>
      <c r="B185" t="s">
        <v>7</v>
      </c>
      <c r="C185" t="s">
        <v>189</v>
      </c>
      <c r="D185" t="s">
        <v>515</v>
      </c>
      <c r="E185" t="str">
        <f t="shared" si="2"/>
        <v>net.bytebuddy.build.AccessControllerPlugin.Initializer</v>
      </c>
      <c r="F185" t="s">
        <v>516</v>
      </c>
      <c r="G185" s="3">
        <v>361</v>
      </c>
      <c r="H185" s="3">
        <v>0</v>
      </c>
      <c r="I185" s="3">
        <f>VLOOKUP(E185,codex!A$1:B$359,2,0)</f>
        <v>0</v>
      </c>
    </row>
    <row r="186" spans="1:9" x14ac:dyDescent="0.25">
      <c r="A186" t="s">
        <v>148</v>
      </c>
      <c r="B186" t="s">
        <v>7</v>
      </c>
      <c r="C186" t="s">
        <v>517</v>
      </c>
      <c r="D186" t="s">
        <v>518</v>
      </c>
      <c r="E186" t="str">
        <f t="shared" si="2"/>
        <v>org.jsoup.nodes.Entities</v>
      </c>
      <c r="F186" t="s">
        <v>519</v>
      </c>
      <c r="G186" s="3">
        <v>388</v>
      </c>
      <c r="H186" s="3">
        <v>0</v>
      </c>
      <c r="I186" s="3">
        <f>VLOOKUP(E186,codex!A$1:B$359,2,0)</f>
        <v>1</v>
      </c>
    </row>
    <row r="187" spans="1:9" x14ac:dyDescent="0.25">
      <c r="A187" t="s">
        <v>11</v>
      </c>
      <c r="B187" t="s">
        <v>7</v>
      </c>
      <c r="C187" t="s">
        <v>520</v>
      </c>
      <c r="D187" t="s">
        <v>29</v>
      </c>
      <c r="E187" t="str">
        <f t="shared" si="2"/>
        <v>net.bytebuddy.implementation.LoadedTypeInitializer.Compound</v>
      </c>
      <c r="F187" t="s">
        <v>521</v>
      </c>
      <c r="G187" s="3">
        <v>345</v>
      </c>
      <c r="H187" s="3">
        <v>0</v>
      </c>
      <c r="I187" s="3">
        <f>VLOOKUP(E187,codex!A$1:B$359,2,0)</f>
        <v>0</v>
      </c>
    </row>
    <row r="188" spans="1:9" x14ac:dyDescent="0.25">
      <c r="A188" t="s">
        <v>11</v>
      </c>
      <c r="B188" t="s">
        <v>7</v>
      </c>
      <c r="C188" t="s">
        <v>28</v>
      </c>
      <c r="D188" t="s">
        <v>522</v>
      </c>
      <c r="E188" t="str">
        <f t="shared" si="2"/>
        <v>net.bytebuddy.implementation.bind.MethodDelegationBinder.MethodInvoker</v>
      </c>
      <c r="F188" t="s">
        <v>523</v>
      </c>
      <c r="G188" s="3">
        <v>359</v>
      </c>
      <c r="H188" s="3">
        <v>0</v>
      </c>
      <c r="I188" s="3">
        <f>VLOOKUP(E188,codex!A$1:B$359,2,0)</f>
        <v>0</v>
      </c>
    </row>
    <row r="189" spans="1:9" x14ac:dyDescent="0.25">
      <c r="A189" t="s">
        <v>6</v>
      </c>
      <c r="B189" t="s">
        <v>7</v>
      </c>
      <c r="C189" t="s">
        <v>524</v>
      </c>
      <c r="D189" t="s">
        <v>525</v>
      </c>
      <c r="E189" t="str">
        <f t="shared" si="2"/>
        <v>com.github.javaparser.serialization.JavaParserJsonSerializer</v>
      </c>
      <c r="F189" t="s">
        <v>526</v>
      </c>
      <c r="G189" s="3">
        <v>464</v>
      </c>
      <c r="H189" s="3">
        <v>0</v>
      </c>
      <c r="I189" s="3">
        <f>VLOOKUP(E189,codex!A$1:B$359,2,0)</f>
        <v>0</v>
      </c>
    </row>
    <row r="190" spans="1:9" x14ac:dyDescent="0.25">
      <c r="A190" t="s">
        <v>11</v>
      </c>
      <c r="B190" t="s">
        <v>7</v>
      </c>
      <c r="C190" t="s">
        <v>186</v>
      </c>
      <c r="D190" t="s">
        <v>527</v>
      </c>
      <c r="E190" t="str">
        <f t="shared" si="2"/>
        <v>net.bytebuddy.pool.TypePool.LazyAnnotationDescription</v>
      </c>
      <c r="F190" t="s">
        <v>528</v>
      </c>
      <c r="G190" s="3">
        <v>386</v>
      </c>
      <c r="H190" s="3">
        <v>0</v>
      </c>
      <c r="I190" s="3">
        <f>VLOOKUP(E190,codex!A$1:B$359,2,0)</f>
        <v>0</v>
      </c>
    </row>
    <row r="191" spans="1:9" x14ac:dyDescent="0.25">
      <c r="A191" t="s">
        <v>11</v>
      </c>
      <c r="B191" t="s">
        <v>7</v>
      </c>
      <c r="C191" t="s">
        <v>529</v>
      </c>
      <c r="D191" t="s">
        <v>530</v>
      </c>
      <c r="E191" t="str">
        <f t="shared" si="2"/>
        <v>net.bytebuddy.matcher.FieldTypeMatcher</v>
      </c>
      <c r="F191" t="s">
        <v>531</v>
      </c>
      <c r="G191" s="3">
        <v>359</v>
      </c>
      <c r="H191" s="3">
        <v>0</v>
      </c>
      <c r="I191" s="3">
        <f>VLOOKUP(E191,codex!A$1:B$359,2,0)</f>
        <v>0</v>
      </c>
    </row>
    <row r="192" spans="1:9" x14ac:dyDescent="0.25">
      <c r="A192" t="s">
        <v>148</v>
      </c>
      <c r="B192" t="s">
        <v>7</v>
      </c>
      <c r="C192" t="s">
        <v>532</v>
      </c>
      <c r="D192" t="s">
        <v>533</v>
      </c>
      <c r="E192" t="str">
        <f t="shared" si="2"/>
        <v>org.jsoup.select.Evaluator.IsNthLastOfType</v>
      </c>
      <c r="F192" t="s">
        <v>534</v>
      </c>
      <c r="G192" s="3">
        <v>323</v>
      </c>
      <c r="H192" s="3">
        <v>0</v>
      </c>
      <c r="I192" s="3">
        <f>VLOOKUP(E192,codex!A$1:B$359,2,0)</f>
        <v>0</v>
      </c>
    </row>
    <row r="193" spans="1:9" x14ac:dyDescent="0.25">
      <c r="A193" t="s">
        <v>89</v>
      </c>
      <c r="B193" t="s">
        <v>7</v>
      </c>
      <c r="C193" t="s">
        <v>535</v>
      </c>
      <c r="D193" t="s">
        <v>536</v>
      </c>
      <c r="E193" t="str">
        <f t="shared" si="2"/>
        <v>org.apache.commons.lang3.Validate</v>
      </c>
      <c r="F193" t="s">
        <v>537</v>
      </c>
      <c r="G193" s="3">
        <v>343</v>
      </c>
      <c r="H193" s="3">
        <v>1</v>
      </c>
      <c r="I193" s="3">
        <f>VLOOKUP(E193,codex!A$1:B$359,2,0)</f>
        <v>1</v>
      </c>
    </row>
    <row r="194" spans="1:9" x14ac:dyDescent="0.25">
      <c r="A194" t="s">
        <v>11</v>
      </c>
      <c r="B194" t="s">
        <v>7</v>
      </c>
      <c r="C194" t="s">
        <v>538</v>
      </c>
      <c r="D194" t="s">
        <v>539</v>
      </c>
      <c r="E194" t="str">
        <f t="shared" si="2"/>
        <v>net.bytebuddy.benchmark.ClassByExtensionBenchmark.ByteBuddyPrefixInterceptor</v>
      </c>
      <c r="F194" t="s">
        <v>540</v>
      </c>
      <c r="G194" s="3">
        <v>339</v>
      </c>
      <c r="H194" s="3">
        <v>0</v>
      </c>
      <c r="I194" s="3">
        <f>VLOOKUP(E194,codex!A$1:B$359,2,0)</f>
        <v>0</v>
      </c>
    </row>
    <row r="195" spans="1:9" x14ac:dyDescent="0.25">
      <c r="A195" t="s">
        <v>6</v>
      </c>
      <c r="B195" t="s">
        <v>7</v>
      </c>
      <c r="C195" t="s">
        <v>541</v>
      </c>
      <c r="D195" t="s">
        <v>542</v>
      </c>
      <c r="E195" t="str">
        <f t="shared" ref="E195:E258" si="3">C195&amp;"."&amp;D195</f>
        <v>com.github.javaparser.printer.lexicalpreservation.TextElementIteratorsFactory.EmptyIterator</v>
      </c>
      <c r="F195" t="s">
        <v>543</v>
      </c>
      <c r="G195" s="3">
        <v>351</v>
      </c>
      <c r="H195" s="3">
        <v>0</v>
      </c>
      <c r="I195" s="3">
        <f>VLOOKUP(E195,codex!A$1:B$359,2,0)</f>
        <v>0</v>
      </c>
    </row>
    <row r="196" spans="1:9" x14ac:dyDescent="0.25">
      <c r="A196" t="s">
        <v>6</v>
      </c>
      <c r="B196" t="s">
        <v>7</v>
      </c>
      <c r="C196" t="s">
        <v>228</v>
      </c>
      <c r="D196" t="s">
        <v>544</v>
      </c>
      <c r="E196" t="str">
        <f t="shared" si="3"/>
        <v>com.github.javaparser.symbolsolver.resolution.typeinference.Instantiation</v>
      </c>
      <c r="F196" t="s">
        <v>545</v>
      </c>
      <c r="G196" s="3">
        <v>375</v>
      </c>
      <c r="H196" s="3">
        <v>0</v>
      </c>
      <c r="I196" s="3">
        <f>VLOOKUP(E196,codex!A$1:B$359,2,0)</f>
        <v>0</v>
      </c>
    </row>
    <row r="197" spans="1:9" x14ac:dyDescent="0.25">
      <c r="A197" t="s">
        <v>31</v>
      </c>
      <c r="B197" t="s">
        <v>7</v>
      </c>
      <c r="C197" t="s">
        <v>546</v>
      </c>
      <c r="D197" t="s">
        <v>547</v>
      </c>
      <c r="E197" t="str">
        <f t="shared" si="3"/>
        <v>com.google.zxing.client.android.history.HistoryItemAdapter</v>
      </c>
      <c r="F197" t="s">
        <v>548</v>
      </c>
      <c r="G197" s="3">
        <v>345</v>
      </c>
      <c r="H197" s="3">
        <v>0</v>
      </c>
      <c r="I197" s="3">
        <f>VLOOKUP(E197,codex!A$1:B$359,2,0)</f>
        <v>0</v>
      </c>
    </row>
    <row r="198" spans="1:9" x14ac:dyDescent="0.25">
      <c r="A198" t="s">
        <v>11</v>
      </c>
      <c r="B198" t="s">
        <v>7</v>
      </c>
      <c r="C198" t="s">
        <v>259</v>
      </c>
      <c r="D198" t="s">
        <v>204</v>
      </c>
      <c r="E198" t="str">
        <f t="shared" si="3"/>
        <v>net.bytebuddy.agent.VirtualMachine.AbstractBase</v>
      </c>
      <c r="F198" t="s">
        <v>549</v>
      </c>
      <c r="G198" s="3">
        <v>332</v>
      </c>
      <c r="H198" s="3">
        <v>0</v>
      </c>
      <c r="I198" s="3">
        <f>VLOOKUP(E198,codex!A$1:B$359,2,0)</f>
        <v>0</v>
      </c>
    </row>
    <row r="199" spans="1:9" x14ac:dyDescent="0.25">
      <c r="A199" t="s">
        <v>148</v>
      </c>
      <c r="B199" t="s">
        <v>7</v>
      </c>
      <c r="C199" t="s">
        <v>532</v>
      </c>
      <c r="D199" t="s">
        <v>550</v>
      </c>
      <c r="E199" t="str">
        <f t="shared" si="3"/>
        <v>org.jsoup.select.Evaluator.IsLastOfType</v>
      </c>
      <c r="F199" t="s">
        <v>551</v>
      </c>
      <c r="G199" s="3">
        <v>322</v>
      </c>
      <c r="H199" s="3">
        <v>0</v>
      </c>
      <c r="I199" s="3">
        <f>VLOOKUP(E199,codex!A$1:B$359,2,0)</f>
        <v>0</v>
      </c>
    </row>
    <row r="200" spans="1:9" x14ac:dyDescent="0.25">
      <c r="A200" t="s">
        <v>11</v>
      </c>
      <c r="B200" t="s">
        <v>7</v>
      </c>
      <c r="C200" t="s">
        <v>552</v>
      </c>
      <c r="D200" t="s">
        <v>553</v>
      </c>
      <c r="E200" t="str">
        <f t="shared" si="3"/>
        <v>net.bytebuddy.build.gradle.AbstractByteBuddyTask.TransformationLogger</v>
      </c>
      <c r="F200" t="s">
        <v>554</v>
      </c>
      <c r="G200" s="3">
        <v>347</v>
      </c>
      <c r="H200" s="3">
        <v>0</v>
      </c>
      <c r="I200" s="3">
        <f>VLOOKUP(E200,codex!A$1:B$359,2,0)</f>
        <v>0</v>
      </c>
    </row>
    <row r="201" spans="1:9" x14ac:dyDescent="0.25">
      <c r="A201" t="s">
        <v>11</v>
      </c>
      <c r="B201" t="s">
        <v>7</v>
      </c>
      <c r="C201" t="s">
        <v>555</v>
      </c>
      <c r="D201" t="s">
        <v>556</v>
      </c>
      <c r="E201" t="str">
        <f t="shared" si="3"/>
        <v>net.bytebuddy.implementation.bytecode.Addition</v>
      </c>
      <c r="F201" t="s">
        <v>557</v>
      </c>
      <c r="G201" s="3">
        <v>358</v>
      </c>
      <c r="H201" s="3">
        <v>0</v>
      </c>
      <c r="I201" s="3">
        <f>VLOOKUP(E201,codex!A$1:B$359,2,0)</f>
        <v>0</v>
      </c>
    </row>
    <row r="202" spans="1:9" x14ac:dyDescent="0.25">
      <c r="A202" t="s">
        <v>11</v>
      </c>
      <c r="B202" t="s">
        <v>7</v>
      </c>
      <c r="C202" t="s">
        <v>251</v>
      </c>
      <c r="D202" t="s">
        <v>558</v>
      </c>
      <c r="E202" t="str">
        <f t="shared" si="3"/>
        <v>net.bytebuddy.dynamic.ClassFileLocator.Initializable</v>
      </c>
      <c r="F202" t="s">
        <v>559</v>
      </c>
      <c r="G202" s="3">
        <v>334</v>
      </c>
      <c r="H202" s="3">
        <v>0</v>
      </c>
      <c r="I202" s="3">
        <f>VLOOKUP(E202,codex!A$1:B$359,2,0)</f>
        <v>0</v>
      </c>
    </row>
    <row r="203" spans="1:9" x14ac:dyDescent="0.25">
      <c r="A203" t="s">
        <v>11</v>
      </c>
      <c r="B203" t="s">
        <v>7</v>
      </c>
      <c r="C203" t="s">
        <v>132</v>
      </c>
      <c r="D203" t="s">
        <v>560</v>
      </c>
      <c r="E203" t="str">
        <f t="shared" si="3"/>
        <v>net.bytebuddy.implementation.bytecode.member.HandleInvocation</v>
      </c>
      <c r="F203" t="s">
        <v>561</v>
      </c>
      <c r="G203" s="3">
        <v>377</v>
      </c>
      <c r="H203" s="3">
        <v>0</v>
      </c>
      <c r="I203" s="3">
        <f>VLOOKUP(E203,codex!A$1:B$359,2,0)</f>
        <v>0</v>
      </c>
    </row>
    <row r="204" spans="1:9" x14ac:dyDescent="0.25">
      <c r="A204" t="s">
        <v>11</v>
      </c>
      <c r="B204" t="s">
        <v>7</v>
      </c>
      <c r="C204" t="s">
        <v>562</v>
      </c>
      <c r="D204" t="s">
        <v>563</v>
      </c>
      <c r="E204" t="str">
        <f t="shared" si="3"/>
        <v>net.bytebuddy.implementation.attribute.MethodAttributeAppender.ForInstrumentedMethod</v>
      </c>
      <c r="F204" t="s">
        <v>564</v>
      </c>
      <c r="G204" s="3">
        <v>358</v>
      </c>
      <c r="H204" s="3">
        <v>0</v>
      </c>
      <c r="I204" s="3">
        <f>VLOOKUP(E204,codex!A$1:B$359,2,0)</f>
        <v>0</v>
      </c>
    </row>
    <row r="205" spans="1:9" x14ac:dyDescent="0.25">
      <c r="A205" t="s">
        <v>6</v>
      </c>
      <c r="B205" t="s">
        <v>7</v>
      </c>
      <c r="C205" t="s">
        <v>316</v>
      </c>
      <c r="D205" t="s">
        <v>565</v>
      </c>
      <c r="E205" t="str">
        <f t="shared" si="3"/>
        <v>com.github.javaparser.ast.visitor.VoidVisitor</v>
      </c>
      <c r="F205" t="s">
        <v>566</v>
      </c>
      <c r="G205" s="3">
        <v>1586</v>
      </c>
      <c r="H205" s="3">
        <v>1</v>
      </c>
      <c r="I205" s="3">
        <f>VLOOKUP(E205,codex!A$1:B$359,2,0)</f>
        <v>0</v>
      </c>
    </row>
    <row r="206" spans="1:9" x14ac:dyDescent="0.25">
      <c r="A206" t="s">
        <v>11</v>
      </c>
      <c r="B206" t="s">
        <v>7</v>
      </c>
      <c r="C206" t="s">
        <v>567</v>
      </c>
      <c r="D206" t="s">
        <v>568</v>
      </c>
      <c r="E206" t="str">
        <f t="shared" si="3"/>
        <v>net.bytebuddy.build.maven.ByteBuddyMojo.FromClassLoader</v>
      </c>
      <c r="F206" t="s">
        <v>569</v>
      </c>
      <c r="G206" s="3">
        <v>341</v>
      </c>
      <c r="H206" s="3">
        <v>0</v>
      </c>
      <c r="I206" s="3">
        <f>VLOOKUP(E206,codex!A$1:B$359,2,0)</f>
        <v>0</v>
      </c>
    </row>
    <row r="207" spans="1:9" x14ac:dyDescent="0.25">
      <c r="A207" t="s">
        <v>6</v>
      </c>
      <c r="B207" t="s">
        <v>7</v>
      </c>
      <c r="C207" t="s">
        <v>233</v>
      </c>
      <c r="D207" t="s">
        <v>570</v>
      </c>
      <c r="E207" t="str">
        <f t="shared" si="3"/>
        <v>com.github.javaparser.metamodel.LineCommentMetaModel</v>
      </c>
      <c r="F207" t="s">
        <v>571</v>
      </c>
      <c r="G207" s="3">
        <v>338</v>
      </c>
      <c r="H207" s="3">
        <v>0</v>
      </c>
      <c r="I207" s="3">
        <f>VLOOKUP(E207,codex!A$1:B$359,2,0)</f>
        <v>0</v>
      </c>
    </row>
    <row r="208" spans="1:9" x14ac:dyDescent="0.25">
      <c r="A208" t="s">
        <v>24</v>
      </c>
      <c r="B208" t="s">
        <v>7</v>
      </c>
      <c r="C208" t="s">
        <v>82</v>
      </c>
      <c r="D208" t="s">
        <v>572</v>
      </c>
      <c r="E208" t="str">
        <f t="shared" si="3"/>
        <v>org.apache.commons.io.file.SimplePathVisitor</v>
      </c>
      <c r="F208" t="s">
        <v>573</v>
      </c>
      <c r="G208" s="3">
        <v>348</v>
      </c>
      <c r="H208" s="3">
        <v>0</v>
      </c>
      <c r="I208" s="3">
        <f>VLOOKUP(E208,codex!A$1:B$359,2,0)</f>
        <v>0</v>
      </c>
    </row>
    <row r="209" spans="1:9" x14ac:dyDescent="0.25">
      <c r="A209" t="s">
        <v>24</v>
      </c>
      <c r="B209" t="s">
        <v>7</v>
      </c>
      <c r="C209" t="s">
        <v>51</v>
      </c>
      <c r="D209" t="s">
        <v>574</v>
      </c>
      <c r="E209" t="str">
        <f t="shared" si="3"/>
        <v>org.apache.commons.io.input.TimestampedObserver</v>
      </c>
      <c r="F209" t="s">
        <v>575</v>
      </c>
      <c r="G209" s="3">
        <v>328</v>
      </c>
      <c r="H209" s="3">
        <v>0</v>
      </c>
      <c r="I209" s="3">
        <f>VLOOKUP(E209,codex!A$1:B$359,2,0)</f>
        <v>0</v>
      </c>
    </row>
    <row r="210" spans="1:9" x14ac:dyDescent="0.25">
      <c r="A210" t="s">
        <v>11</v>
      </c>
      <c r="B210" t="s">
        <v>7</v>
      </c>
      <c r="C210" t="s">
        <v>576</v>
      </c>
      <c r="D210" t="s">
        <v>577</v>
      </c>
      <c r="E210" t="str">
        <f t="shared" si="3"/>
        <v>net.bytebuddy.implementation.MethodAccessorFactory</v>
      </c>
      <c r="F210" t="s">
        <v>578</v>
      </c>
      <c r="G210" s="3">
        <v>380</v>
      </c>
      <c r="H210" s="3">
        <v>0</v>
      </c>
      <c r="I210" s="3">
        <f>VLOOKUP(E210,codex!A$1:B$359,2,0)</f>
        <v>0</v>
      </c>
    </row>
    <row r="211" spans="1:9" x14ac:dyDescent="0.25">
      <c r="A211" t="s">
        <v>24</v>
      </c>
      <c r="B211" t="s">
        <v>7</v>
      </c>
      <c r="C211" t="s">
        <v>579</v>
      </c>
      <c r="D211" t="s">
        <v>580</v>
      </c>
      <c r="E211" t="str">
        <f t="shared" si="3"/>
        <v>org.apache.commons.io.comparator.LastModifiedFileComparator</v>
      </c>
      <c r="F211" t="s">
        <v>581</v>
      </c>
      <c r="G211" s="3">
        <v>338</v>
      </c>
      <c r="H211" s="3">
        <v>0</v>
      </c>
      <c r="I211" s="3">
        <f>VLOOKUP(E211,codex!A$1:B$359,2,0)</f>
        <v>0</v>
      </c>
    </row>
    <row r="212" spans="1:9" x14ac:dyDescent="0.25">
      <c r="A212" t="s">
        <v>11</v>
      </c>
      <c r="B212" t="s">
        <v>7</v>
      </c>
      <c r="C212" t="s">
        <v>582</v>
      </c>
      <c r="D212" t="s">
        <v>583</v>
      </c>
      <c r="E212" t="str">
        <f t="shared" si="3"/>
        <v>net.bytebuddy.description.ModifierReviewable.ForParameterDescription</v>
      </c>
      <c r="F212" t="s">
        <v>584</v>
      </c>
      <c r="G212" s="3">
        <v>336</v>
      </c>
      <c r="H212" s="3">
        <v>0</v>
      </c>
      <c r="I212" s="3">
        <f>VLOOKUP(E212,codex!A$1:B$359,2,0)</f>
        <v>0</v>
      </c>
    </row>
    <row r="213" spans="1:9" x14ac:dyDescent="0.25">
      <c r="A213" t="s">
        <v>41</v>
      </c>
      <c r="B213" t="s">
        <v>7</v>
      </c>
      <c r="C213" t="s">
        <v>585</v>
      </c>
      <c r="D213" t="s">
        <v>586</v>
      </c>
      <c r="E213" t="str">
        <f t="shared" si="3"/>
        <v>(default package).PolymorphismTest.Quarter</v>
      </c>
      <c r="F213" t="s">
        <v>587</v>
      </c>
      <c r="G213" s="3">
        <v>324</v>
      </c>
      <c r="H213" s="3">
        <v>0</v>
      </c>
      <c r="I213" s="3">
        <f>VLOOKUP(E213,codex!A$1:B$359,2,0)</f>
        <v>0</v>
      </c>
    </row>
    <row r="214" spans="1:9" x14ac:dyDescent="0.25">
      <c r="A214" t="s">
        <v>89</v>
      </c>
      <c r="B214" t="s">
        <v>7</v>
      </c>
      <c r="C214" t="s">
        <v>535</v>
      </c>
      <c r="D214" t="s">
        <v>588</v>
      </c>
      <c r="E214" t="str">
        <f t="shared" si="3"/>
        <v>org.apache.commons.lang3.CachedRandomBits</v>
      </c>
      <c r="F214" t="s">
        <v>589</v>
      </c>
      <c r="G214" s="3">
        <v>327</v>
      </c>
      <c r="H214" s="3">
        <v>0</v>
      </c>
      <c r="I214" s="3">
        <f>VLOOKUP(E214,codex!A$1:B$359,2,0)</f>
        <v>0</v>
      </c>
    </row>
    <row r="215" spans="1:9" x14ac:dyDescent="0.25">
      <c r="A215" t="s">
        <v>6</v>
      </c>
      <c r="B215" t="s">
        <v>7</v>
      </c>
      <c r="C215" t="s">
        <v>590</v>
      </c>
      <c r="D215" t="s">
        <v>591</v>
      </c>
      <c r="E215" t="str">
        <f t="shared" si="3"/>
        <v>com.github.javaparser.ast.expr.CastExpr</v>
      </c>
      <c r="F215" t="s">
        <v>592</v>
      </c>
      <c r="G215" s="3">
        <v>441</v>
      </c>
      <c r="H215" s="3">
        <v>0</v>
      </c>
      <c r="I215" s="3">
        <f>VLOOKUP(E215,codex!A$1:B$359,2,0)</f>
        <v>0</v>
      </c>
    </row>
    <row r="216" spans="1:9" x14ac:dyDescent="0.25">
      <c r="A216" t="s">
        <v>75</v>
      </c>
      <c r="B216" t="s">
        <v>7</v>
      </c>
      <c r="C216" t="s">
        <v>593</v>
      </c>
      <c r="D216" t="s">
        <v>594</v>
      </c>
      <c r="E216" t="str">
        <f t="shared" si="3"/>
        <v>com.google.common.jimfs.Configuration.WindowsHolder</v>
      </c>
      <c r="F216" t="s">
        <v>595</v>
      </c>
      <c r="G216" s="3">
        <v>336</v>
      </c>
      <c r="H216" s="3">
        <v>0</v>
      </c>
      <c r="I216" s="3">
        <f>VLOOKUP(E216,codex!A$1:B$359,2,0)</f>
        <v>0</v>
      </c>
    </row>
    <row r="217" spans="1:9" x14ac:dyDescent="0.25">
      <c r="A217" t="s">
        <v>11</v>
      </c>
      <c r="B217" t="s">
        <v>7</v>
      </c>
      <c r="C217" t="s">
        <v>596</v>
      </c>
      <c r="D217" t="s">
        <v>597</v>
      </c>
      <c r="E217" t="str">
        <f t="shared" si="3"/>
        <v>net.bytebuddy.implementation.MethodDelegation.ForStaticMethod</v>
      </c>
      <c r="F217" t="s">
        <v>598</v>
      </c>
      <c r="G217" s="3">
        <v>358</v>
      </c>
      <c r="H217" s="3">
        <v>0</v>
      </c>
      <c r="I217" s="3">
        <f>VLOOKUP(E217,codex!A$1:B$359,2,0)</f>
        <v>0</v>
      </c>
    </row>
    <row r="218" spans="1:9" x14ac:dyDescent="0.25">
      <c r="A218" t="s">
        <v>11</v>
      </c>
      <c r="B218" t="s">
        <v>7</v>
      </c>
      <c r="C218" t="s">
        <v>599</v>
      </c>
      <c r="D218" t="s">
        <v>112</v>
      </c>
      <c r="E218" t="str">
        <f t="shared" si="3"/>
        <v>net.bytebuddy.benchmark.jmh.generated.SuperClassInvocationBenchmark.benchmarkByteBuddyWithProxy.jmhTest</v>
      </c>
      <c r="F218" t="s">
        <v>600</v>
      </c>
      <c r="G218" s="3">
        <v>4528</v>
      </c>
      <c r="H218" s="3">
        <v>0</v>
      </c>
      <c r="I218" s="3">
        <f>VLOOKUP(E218,codex!A$1:B$359,2,0)</f>
        <v>0</v>
      </c>
    </row>
    <row r="219" spans="1:9" x14ac:dyDescent="0.25">
      <c r="A219" t="s">
        <v>11</v>
      </c>
      <c r="B219" t="s">
        <v>7</v>
      </c>
      <c r="C219" t="s">
        <v>555</v>
      </c>
      <c r="D219" t="s">
        <v>601</v>
      </c>
      <c r="E219" t="str">
        <f t="shared" si="3"/>
        <v>net.bytebuddy.implementation.bytecode.TypeCreation</v>
      </c>
      <c r="F219" t="s">
        <v>602</v>
      </c>
      <c r="G219" s="3">
        <v>376</v>
      </c>
      <c r="H219" s="3">
        <v>0</v>
      </c>
      <c r="I219" s="3">
        <f>VLOOKUP(E219,codex!A$1:B$359,2,0)</f>
        <v>0</v>
      </c>
    </row>
    <row r="220" spans="1:9" x14ac:dyDescent="0.25">
      <c r="A220" t="s">
        <v>11</v>
      </c>
      <c r="B220" t="s">
        <v>7</v>
      </c>
      <c r="C220" t="s">
        <v>217</v>
      </c>
      <c r="D220" t="s">
        <v>603</v>
      </c>
      <c r="E220" t="str">
        <f t="shared" si="3"/>
        <v>net.bytebuddy.dynamic.scaffold.TypeWriter.ForInterface</v>
      </c>
      <c r="F220" t="s">
        <v>604</v>
      </c>
      <c r="G220" s="3">
        <v>344</v>
      </c>
      <c r="H220" s="3">
        <v>0</v>
      </c>
      <c r="I220" s="3">
        <f>VLOOKUP(E220,codex!A$1:B$359,2,0)</f>
        <v>0</v>
      </c>
    </row>
    <row r="221" spans="1:9" x14ac:dyDescent="0.25">
      <c r="A221" t="s">
        <v>6</v>
      </c>
      <c r="B221" t="s">
        <v>7</v>
      </c>
      <c r="C221" t="s">
        <v>605</v>
      </c>
      <c r="D221" t="s">
        <v>606</v>
      </c>
      <c r="E221" t="str">
        <f t="shared" si="3"/>
        <v>com.github.javaparser.symbolsolver.SourceFileInfoExtractor</v>
      </c>
      <c r="F221" t="s">
        <v>607</v>
      </c>
      <c r="G221" s="3">
        <v>498</v>
      </c>
      <c r="H221" s="3">
        <v>0</v>
      </c>
      <c r="I221" s="3">
        <f>VLOOKUP(E221,codex!A$1:B$359,2,0)</f>
        <v>1</v>
      </c>
    </row>
    <row r="222" spans="1:9" x14ac:dyDescent="0.25">
      <c r="A222" t="s">
        <v>6</v>
      </c>
      <c r="B222" t="s">
        <v>7</v>
      </c>
      <c r="C222" t="s">
        <v>608</v>
      </c>
      <c r="D222" t="s">
        <v>609</v>
      </c>
      <c r="E222" t="str">
        <f t="shared" si="3"/>
        <v>issue241.TypeWithMemberType.MemberInterface</v>
      </c>
      <c r="F222" t="s">
        <v>610</v>
      </c>
      <c r="G222" s="3">
        <v>336</v>
      </c>
      <c r="H222" s="3">
        <v>0</v>
      </c>
      <c r="I222" s="3">
        <f>VLOOKUP(E222,codex!A$1:B$359,2,0)</f>
        <v>0</v>
      </c>
    </row>
    <row r="223" spans="1:9" x14ac:dyDescent="0.25">
      <c r="A223" t="s">
        <v>75</v>
      </c>
      <c r="B223" t="s">
        <v>7</v>
      </c>
      <c r="C223" t="s">
        <v>492</v>
      </c>
      <c r="D223" t="s">
        <v>611</v>
      </c>
      <c r="E223" t="str">
        <f t="shared" si="3"/>
        <v>com.google.common.jimfs.RegularFile</v>
      </c>
      <c r="F223" t="s">
        <v>612</v>
      </c>
      <c r="G223" s="3">
        <v>372</v>
      </c>
      <c r="H223" s="3">
        <v>1</v>
      </c>
      <c r="I223" s="3">
        <f>VLOOKUP(E223,codex!A$1:B$359,2,0)</f>
        <v>1</v>
      </c>
    </row>
    <row r="224" spans="1:9" x14ac:dyDescent="0.25">
      <c r="A224" t="s">
        <v>6</v>
      </c>
      <c r="B224" t="s">
        <v>7</v>
      </c>
      <c r="C224" t="s">
        <v>613</v>
      </c>
      <c r="D224" t="s">
        <v>614</v>
      </c>
      <c r="E224" t="str">
        <f t="shared" si="3"/>
        <v>com.github.javaparser.utils.VisitorList.EqualsHashcodeOverridingFacade</v>
      </c>
      <c r="F224" t="s">
        <v>615</v>
      </c>
      <c r="G224" s="3">
        <v>349</v>
      </c>
      <c r="H224" s="3">
        <v>0</v>
      </c>
      <c r="I224" s="3">
        <f>VLOOKUP(E224,codex!A$1:B$359,2,0)</f>
        <v>0</v>
      </c>
    </row>
    <row r="225" spans="1:9" x14ac:dyDescent="0.25">
      <c r="A225" t="s">
        <v>11</v>
      </c>
      <c r="B225" t="s">
        <v>7</v>
      </c>
      <c r="C225" t="s">
        <v>152</v>
      </c>
      <c r="D225" t="s">
        <v>616</v>
      </c>
      <c r="E225" t="str">
        <f t="shared" si="3"/>
        <v>net.bytebuddy.implementation.InvokeDynamic.ForInterceptedMethodParameters</v>
      </c>
      <c r="F225" t="s">
        <v>617</v>
      </c>
      <c r="G225" s="3">
        <v>347</v>
      </c>
      <c r="H225" s="3">
        <v>0</v>
      </c>
      <c r="I225" s="3">
        <f>VLOOKUP(E225,codex!A$1:B$359,2,0)</f>
        <v>0</v>
      </c>
    </row>
    <row r="226" spans="1:9" x14ac:dyDescent="0.25">
      <c r="A226" t="s">
        <v>11</v>
      </c>
      <c r="B226" t="s">
        <v>7</v>
      </c>
      <c r="C226" t="s">
        <v>346</v>
      </c>
      <c r="D226" t="s">
        <v>618</v>
      </c>
      <c r="E226" t="str">
        <f t="shared" si="3"/>
        <v>net.bytebuddy.dynamic.scaffold.MethodGraph.NodeList</v>
      </c>
      <c r="F226" t="s">
        <v>619</v>
      </c>
      <c r="G226" s="3">
        <v>353</v>
      </c>
      <c r="H226" s="3">
        <v>0</v>
      </c>
      <c r="I226" s="3">
        <f>VLOOKUP(E226,codex!A$1:B$359,2,0)</f>
        <v>0</v>
      </c>
    </row>
    <row r="227" spans="1:9" x14ac:dyDescent="0.25">
      <c r="A227" t="s">
        <v>11</v>
      </c>
      <c r="B227" t="s">
        <v>7</v>
      </c>
      <c r="C227" t="s">
        <v>186</v>
      </c>
      <c r="D227" t="s">
        <v>620</v>
      </c>
      <c r="E227" t="str">
        <f t="shared" si="3"/>
        <v>net.bytebuddy.pool.TypePool.ForAnnotationValue</v>
      </c>
      <c r="F227" t="s">
        <v>621</v>
      </c>
      <c r="G227" s="3">
        <v>359</v>
      </c>
      <c r="H227" s="3">
        <v>0</v>
      </c>
      <c r="I227" s="3">
        <f>VLOOKUP(E227,codex!A$1:B$359,2,0)</f>
        <v>0</v>
      </c>
    </row>
    <row r="228" spans="1:9" x14ac:dyDescent="0.25">
      <c r="A228" t="s">
        <v>41</v>
      </c>
      <c r="B228" t="s">
        <v>7</v>
      </c>
      <c r="C228" t="s">
        <v>42</v>
      </c>
      <c r="D228" t="s">
        <v>622</v>
      </c>
      <c r="E228" t="str">
        <f t="shared" si="3"/>
        <v>(default package).TestInner</v>
      </c>
      <c r="F228" t="s">
        <v>623</v>
      </c>
      <c r="G228" s="3">
        <v>317</v>
      </c>
      <c r="H228" s="3">
        <v>0</v>
      </c>
      <c r="I228" s="3">
        <f>VLOOKUP(E228,codex!A$1:B$359,2,0)</f>
        <v>0</v>
      </c>
    </row>
    <row r="229" spans="1:9" x14ac:dyDescent="0.25">
      <c r="A229" t="s">
        <v>24</v>
      </c>
      <c r="B229" t="s">
        <v>7</v>
      </c>
      <c r="C229" t="s">
        <v>51</v>
      </c>
      <c r="D229" t="s">
        <v>624</v>
      </c>
      <c r="E229" t="str">
        <f t="shared" si="3"/>
        <v>org.apache.commons.io.input.BrokenReader</v>
      </c>
      <c r="F229" t="s">
        <v>625</v>
      </c>
      <c r="G229" s="3">
        <v>338</v>
      </c>
      <c r="H229" s="3">
        <v>0</v>
      </c>
      <c r="I229" s="3">
        <f>VLOOKUP(E229,codex!A$1:B$359,2,0)</f>
        <v>0</v>
      </c>
    </row>
    <row r="230" spans="1:9" x14ac:dyDescent="0.25">
      <c r="A230" t="s">
        <v>41</v>
      </c>
      <c r="B230" t="s">
        <v>7</v>
      </c>
      <c r="C230" t="s">
        <v>626</v>
      </c>
      <c r="D230" t="s">
        <v>627</v>
      </c>
      <c r="E230" t="str">
        <f t="shared" si="3"/>
        <v>org.adoptopenjdk.jitwatch.ui.main.ClassMemberList</v>
      </c>
      <c r="F230" t="s">
        <v>628</v>
      </c>
      <c r="G230" s="3">
        <v>444</v>
      </c>
      <c r="H230" s="3">
        <v>0</v>
      </c>
      <c r="I230" s="3">
        <f>VLOOKUP(E230,codex!A$1:B$359,2,0)</f>
        <v>1</v>
      </c>
    </row>
    <row r="231" spans="1:9" x14ac:dyDescent="0.25">
      <c r="A231" t="s">
        <v>6</v>
      </c>
      <c r="B231" t="s">
        <v>7</v>
      </c>
      <c r="C231" t="s">
        <v>228</v>
      </c>
      <c r="D231" t="s">
        <v>629</v>
      </c>
      <c r="E231" t="str">
        <f t="shared" si="3"/>
        <v>com.github.javaparser.symbolsolver.resolution.typeinference.ControlFlowLogic</v>
      </c>
      <c r="F231" t="s">
        <v>630</v>
      </c>
      <c r="G231" s="3">
        <v>550</v>
      </c>
      <c r="H231" s="3">
        <v>0</v>
      </c>
      <c r="I231" s="3">
        <f>VLOOKUP(E231,codex!A$1:B$359,2,0)</f>
        <v>1</v>
      </c>
    </row>
    <row r="232" spans="1:9" x14ac:dyDescent="0.25">
      <c r="A232" t="s">
        <v>89</v>
      </c>
      <c r="B232" t="s">
        <v>7</v>
      </c>
      <c r="C232" t="s">
        <v>96</v>
      </c>
      <c r="D232" t="s">
        <v>631</v>
      </c>
      <c r="E232" t="str">
        <f t="shared" si="3"/>
        <v>org.apache.commons.lang3.concurrent.LazyInitializer</v>
      </c>
      <c r="F232" t="s">
        <v>632</v>
      </c>
      <c r="G232" s="3">
        <v>375</v>
      </c>
      <c r="H232" s="3">
        <v>0</v>
      </c>
      <c r="I232" s="3">
        <f>VLOOKUP(E232,codex!A$1:B$359,2,0)</f>
        <v>0</v>
      </c>
    </row>
    <row r="233" spans="1:9" x14ac:dyDescent="0.25">
      <c r="A233" t="s">
        <v>89</v>
      </c>
      <c r="B233" t="s">
        <v>7</v>
      </c>
      <c r="C233" t="s">
        <v>633</v>
      </c>
      <c r="D233" t="s">
        <v>634</v>
      </c>
      <c r="E233" t="str">
        <f t="shared" si="3"/>
        <v>org.apache.commons.lang3.text.FormatFactory</v>
      </c>
      <c r="F233" t="s">
        <v>635</v>
      </c>
      <c r="G233" s="3">
        <v>327</v>
      </c>
      <c r="H233" s="3">
        <v>0</v>
      </c>
      <c r="I233" s="3">
        <f>VLOOKUP(E233,codex!A$1:B$359,2,0)</f>
        <v>0</v>
      </c>
    </row>
    <row r="234" spans="1:9" x14ac:dyDescent="0.25">
      <c r="A234" t="s">
        <v>75</v>
      </c>
      <c r="B234" t="s">
        <v>7</v>
      </c>
      <c r="C234" t="s">
        <v>492</v>
      </c>
      <c r="D234" t="s">
        <v>636</v>
      </c>
      <c r="E234" t="str">
        <f t="shared" si="3"/>
        <v>com.google.common.jimfs.FileSystemView</v>
      </c>
      <c r="F234" t="s">
        <v>637</v>
      </c>
      <c r="G234" s="3">
        <v>498</v>
      </c>
      <c r="H234" s="3">
        <v>1</v>
      </c>
      <c r="I234" s="3">
        <f>VLOOKUP(E234,codex!A$1:B$359,2,0)</f>
        <v>1</v>
      </c>
    </row>
    <row r="235" spans="1:9" x14ac:dyDescent="0.25">
      <c r="A235" t="s">
        <v>11</v>
      </c>
      <c r="B235" t="s">
        <v>7</v>
      </c>
      <c r="C235" t="s">
        <v>251</v>
      </c>
      <c r="D235" t="s">
        <v>100</v>
      </c>
      <c r="E235" t="str">
        <f t="shared" si="3"/>
        <v>net.bytebuddy.dynamic.ClassFileLocator.NoOp</v>
      </c>
      <c r="F235" t="s">
        <v>638</v>
      </c>
      <c r="G235" s="3">
        <v>334</v>
      </c>
      <c r="H235" s="3">
        <v>0</v>
      </c>
      <c r="I235" s="3">
        <f>VLOOKUP(E235,codex!A$1:B$359,2,0)</f>
        <v>0</v>
      </c>
    </row>
    <row r="236" spans="1:9" x14ac:dyDescent="0.25">
      <c r="A236" t="s">
        <v>11</v>
      </c>
      <c r="B236" t="s">
        <v>7</v>
      </c>
      <c r="C236" t="s">
        <v>639</v>
      </c>
      <c r="D236" t="s">
        <v>204</v>
      </c>
      <c r="E236" t="str">
        <f t="shared" si="3"/>
        <v>net.bytebuddy.description.type.PackageDescription.AbstractBase</v>
      </c>
      <c r="F236" t="s">
        <v>640</v>
      </c>
      <c r="G236" s="3">
        <v>335</v>
      </c>
      <c r="H236" s="3">
        <v>0</v>
      </c>
      <c r="I236" s="3">
        <f>VLOOKUP(E236,codex!A$1:B$359,2,0)</f>
        <v>0</v>
      </c>
    </row>
    <row r="237" spans="1:9" x14ac:dyDescent="0.25">
      <c r="A237" t="s">
        <v>148</v>
      </c>
      <c r="B237" t="s">
        <v>7</v>
      </c>
      <c r="C237" t="s">
        <v>532</v>
      </c>
      <c r="D237" t="s">
        <v>641</v>
      </c>
      <c r="E237" t="str">
        <f t="shared" si="3"/>
        <v>org.jsoup.select.Evaluator.IsFirstOfType</v>
      </c>
      <c r="F237" t="s">
        <v>642</v>
      </c>
      <c r="G237" s="3">
        <v>322</v>
      </c>
      <c r="H237" s="3">
        <v>0</v>
      </c>
      <c r="I237" s="3">
        <f>VLOOKUP(E237,codex!A$1:B$359,2,0)</f>
        <v>0</v>
      </c>
    </row>
    <row r="238" spans="1:9" x14ac:dyDescent="0.25">
      <c r="A238" t="s">
        <v>168</v>
      </c>
      <c r="B238" t="s">
        <v>7</v>
      </c>
      <c r="C238" t="s">
        <v>643</v>
      </c>
      <c r="D238" t="s">
        <v>644</v>
      </c>
      <c r="E238" t="str">
        <f t="shared" si="3"/>
        <v>com.google.googlejavaformat.java.DimensionHelpers.TypeWithDims</v>
      </c>
      <c r="F238" t="s">
        <v>645</v>
      </c>
      <c r="G238" s="3">
        <v>330</v>
      </c>
      <c r="H238" s="3">
        <v>0</v>
      </c>
      <c r="I238" s="3">
        <f>VLOOKUP(E238,codex!A$1:B$359,2,0)</f>
        <v>0</v>
      </c>
    </row>
    <row r="239" spans="1:9" x14ac:dyDescent="0.25">
      <c r="A239" t="s">
        <v>6</v>
      </c>
      <c r="B239" t="s">
        <v>7</v>
      </c>
      <c r="C239" t="s">
        <v>646</v>
      </c>
      <c r="D239" t="s">
        <v>647</v>
      </c>
      <c r="E239" t="str">
        <f t="shared" si="3"/>
        <v>com.github.javaparser.JavaToken.Kind</v>
      </c>
      <c r="F239" t="s">
        <v>648</v>
      </c>
      <c r="G239" s="3">
        <v>332</v>
      </c>
      <c r="H239" s="3">
        <v>0</v>
      </c>
      <c r="I239" s="3">
        <f>VLOOKUP(E239,codex!A$1:B$359,2,0)</f>
        <v>0</v>
      </c>
    </row>
    <row r="240" spans="1:9" x14ac:dyDescent="0.25">
      <c r="A240" t="s">
        <v>11</v>
      </c>
      <c r="B240" t="s">
        <v>7</v>
      </c>
      <c r="C240" t="s">
        <v>259</v>
      </c>
      <c r="D240" t="s">
        <v>649</v>
      </c>
      <c r="E240" t="str">
        <f t="shared" si="3"/>
        <v>net.bytebuddy.agent.VirtualMachine.UsingStat</v>
      </c>
      <c r="F240" t="s">
        <v>650</v>
      </c>
      <c r="G240" s="3">
        <v>333</v>
      </c>
      <c r="H240" s="3">
        <v>0</v>
      </c>
      <c r="I240" s="3">
        <f>VLOOKUP(E240,codex!A$1:B$359,2,0)</f>
        <v>0</v>
      </c>
    </row>
    <row r="241" spans="1:9" x14ac:dyDescent="0.25">
      <c r="A241" t="s">
        <v>24</v>
      </c>
      <c r="B241" t="s">
        <v>7</v>
      </c>
      <c r="C241" t="s">
        <v>51</v>
      </c>
      <c r="D241" t="s">
        <v>651</v>
      </c>
      <c r="E241" t="str">
        <f t="shared" si="3"/>
        <v>org.apache.commons.io.input.CountingInputStream</v>
      </c>
      <c r="F241" t="s">
        <v>652</v>
      </c>
      <c r="G241" s="3">
        <v>341</v>
      </c>
      <c r="H241" s="3">
        <v>0</v>
      </c>
      <c r="I241" s="3">
        <f>VLOOKUP(E241,codex!A$1:B$359,2,0)</f>
        <v>0</v>
      </c>
    </row>
    <row r="242" spans="1:9" x14ac:dyDescent="0.25">
      <c r="A242" t="s">
        <v>11</v>
      </c>
      <c r="B242" t="s">
        <v>7</v>
      </c>
      <c r="C242" t="s">
        <v>328</v>
      </c>
      <c r="D242" t="s">
        <v>653</v>
      </c>
      <c r="E242" t="str">
        <f t="shared" si="3"/>
        <v>net.bytebuddy.description.type.TypeDescription.LazyInterfaceList</v>
      </c>
      <c r="F242" t="s">
        <v>654</v>
      </c>
      <c r="G242" s="3">
        <v>344</v>
      </c>
      <c r="H242" s="3">
        <v>0</v>
      </c>
      <c r="I242" s="3">
        <f>VLOOKUP(E242,codex!A$1:B$359,2,0)</f>
        <v>0</v>
      </c>
    </row>
    <row r="243" spans="1:9" x14ac:dyDescent="0.25">
      <c r="A243" t="s">
        <v>75</v>
      </c>
      <c r="B243" t="s">
        <v>7</v>
      </c>
      <c r="C243" t="s">
        <v>492</v>
      </c>
      <c r="D243" t="s">
        <v>655</v>
      </c>
      <c r="E243" t="str">
        <f t="shared" si="3"/>
        <v>com.google.common.jimfs.JimfsInputStream</v>
      </c>
      <c r="F243" t="s">
        <v>656</v>
      </c>
      <c r="G243" s="3">
        <v>352</v>
      </c>
      <c r="H243" s="3">
        <v>0</v>
      </c>
      <c r="I243" s="3">
        <f>VLOOKUP(E243,codex!A$1:B$359,2,0)</f>
        <v>0</v>
      </c>
    </row>
    <row r="244" spans="1:9" x14ac:dyDescent="0.25">
      <c r="A244" t="s">
        <v>6</v>
      </c>
      <c r="B244" t="s">
        <v>7</v>
      </c>
      <c r="C244" t="s">
        <v>657</v>
      </c>
      <c r="D244" t="s">
        <v>658</v>
      </c>
      <c r="E244" t="str">
        <f t="shared" si="3"/>
        <v>com.github.javaparser.symbolsolver.cache.NoCache</v>
      </c>
      <c r="F244" t="s">
        <v>659</v>
      </c>
      <c r="G244" s="3">
        <v>351</v>
      </c>
      <c r="H244" s="3">
        <v>0</v>
      </c>
      <c r="I244" s="3">
        <f>VLOOKUP(E244,codex!A$1:B$359,2,0)</f>
        <v>0</v>
      </c>
    </row>
    <row r="245" spans="1:9" x14ac:dyDescent="0.25">
      <c r="A245" t="s">
        <v>6</v>
      </c>
      <c r="B245" t="s">
        <v>7</v>
      </c>
      <c r="C245" t="s">
        <v>660</v>
      </c>
      <c r="D245" t="s">
        <v>661</v>
      </c>
      <c r="E245" t="str">
        <f t="shared" si="3"/>
        <v>com.github.javaparser.symbolsolver.core.resolution.MethodUsageResolutionCapability</v>
      </c>
      <c r="F245" t="s">
        <v>662</v>
      </c>
      <c r="G245" s="3">
        <v>357</v>
      </c>
      <c r="H245" s="3">
        <v>0</v>
      </c>
      <c r="I245" s="3">
        <f>VLOOKUP(E245,codex!A$1:B$359,2,0)</f>
        <v>0</v>
      </c>
    </row>
    <row r="246" spans="1:9" x14ac:dyDescent="0.25">
      <c r="A246" t="s">
        <v>24</v>
      </c>
      <c r="B246" t="s">
        <v>7</v>
      </c>
      <c r="C246" t="s">
        <v>25</v>
      </c>
      <c r="D246" t="s">
        <v>663</v>
      </c>
      <c r="E246" t="str">
        <f t="shared" si="3"/>
        <v>org.apache.commons.io.FilenameUtils</v>
      </c>
      <c r="F246" t="s">
        <v>664</v>
      </c>
      <c r="G246" s="3">
        <v>343</v>
      </c>
      <c r="H246" s="3">
        <v>1</v>
      </c>
      <c r="I246" s="3">
        <f>VLOOKUP(E246,codex!A$1:B$359,2,0)</f>
        <v>1</v>
      </c>
    </row>
    <row r="247" spans="1:9" x14ac:dyDescent="0.25">
      <c r="A247" t="s">
        <v>11</v>
      </c>
      <c r="B247" t="s">
        <v>7</v>
      </c>
      <c r="C247" t="s">
        <v>665</v>
      </c>
      <c r="D247" t="s">
        <v>666</v>
      </c>
      <c r="E247" t="str">
        <f t="shared" si="3"/>
        <v>net.bytebuddy.implementation.bind.annotation.Binder.FieldSetter</v>
      </c>
      <c r="F247" t="s">
        <v>667</v>
      </c>
      <c r="G247" s="3">
        <v>412</v>
      </c>
      <c r="H247" s="3">
        <v>0</v>
      </c>
      <c r="I247" s="3">
        <f>VLOOKUP(E247,codex!A$1:B$359,2,0)</f>
        <v>0</v>
      </c>
    </row>
    <row r="248" spans="1:9" x14ac:dyDescent="0.25">
      <c r="A248" t="s">
        <v>11</v>
      </c>
      <c r="B248" t="s">
        <v>7</v>
      </c>
      <c r="C248" t="s">
        <v>328</v>
      </c>
      <c r="D248" t="s">
        <v>668</v>
      </c>
      <c r="E248" t="str">
        <f t="shared" si="3"/>
        <v>net.bytebuddy.description.type.TypeDescription.ForTypeVariable</v>
      </c>
      <c r="F248" t="s">
        <v>669</v>
      </c>
      <c r="G248" s="3">
        <v>345</v>
      </c>
      <c r="H248" s="3">
        <v>0</v>
      </c>
      <c r="I248" s="3">
        <f>VLOOKUP(E248,codex!A$1:B$359,2,0)</f>
        <v>0</v>
      </c>
    </row>
    <row r="249" spans="1:9" x14ac:dyDescent="0.25">
      <c r="A249" t="s">
        <v>6</v>
      </c>
      <c r="B249" t="s">
        <v>7</v>
      </c>
      <c r="C249" t="s">
        <v>233</v>
      </c>
      <c r="D249" t="s">
        <v>670</v>
      </c>
      <c r="E249" t="str">
        <f t="shared" si="3"/>
        <v>com.github.javaparser.metamodel.YieldStmtMetaModel</v>
      </c>
      <c r="F249" t="s">
        <v>671</v>
      </c>
      <c r="G249" s="3">
        <v>347</v>
      </c>
      <c r="H249" s="3">
        <v>0</v>
      </c>
      <c r="I249" s="3">
        <f>VLOOKUP(E249,codex!A$1:B$359,2,0)</f>
        <v>0</v>
      </c>
    </row>
    <row r="250" spans="1:9" x14ac:dyDescent="0.25">
      <c r="A250" t="s">
        <v>31</v>
      </c>
      <c r="B250" t="s">
        <v>7</v>
      </c>
      <c r="C250" t="s">
        <v>672</v>
      </c>
      <c r="D250" t="s">
        <v>673</v>
      </c>
      <c r="E250" t="str">
        <f t="shared" si="3"/>
        <v>com.google.zxing.datamatrix.decoder.Version.ECBlocks</v>
      </c>
      <c r="F250" t="s">
        <v>674</v>
      </c>
      <c r="G250" s="3">
        <v>332</v>
      </c>
      <c r="H250" s="3">
        <v>0</v>
      </c>
      <c r="I250" s="3">
        <f>VLOOKUP(E250,codex!A$1:B$359,2,0)</f>
        <v>0</v>
      </c>
    </row>
    <row r="251" spans="1:9" x14ac:dyDescent="0.25">
      <c r="A251" t="s">
        <v>6</v>
      </c>
      <c r="B251" t="s">
        <v>7</v>
      </c>
      <c r="C251" t="s">
        <v>675</v>
      </c>
      <c r="D251" t="s">
        <v>676</v>
      </c>
      <c r="E251" t="str">
        <f t="shared" si="3"/>
        <v>com.github.javaparser.resolution.Resolvable</v>
      </c>
      <c r="F251" t="s">
        <v>677</v>
      </c>
      <c r="G251" s="3">
        <v>333</v>
      </c>
      <c r="H251" s="3">
        <v>0</v>
      </c>
      <c r="I251" s="3">
        <f>VLOOKUP(E251,codex!A$1:B$359,2,0)</f>
        <v>0</v>
      </c>
    </row>
    <row r="252" spans="1:9" x14ac:dyDescent="0.25">
      <c r="A252" t="s">
        <v>11</v>
      </c>
      <c r="B252" t="s">
        <v>7</v>
      </c>
      <c r="C252" t="s">
        <v>251</v>
      </c>
      <c r="D252" t="s">
        <v>678</v>
      </c>
      <c r="E252" t="str">
        <f t="shared" si="3"/>
        <v>net.bytebuddy.dynamic.ClassFileLocator.Illegal</v>
      </c>
      <c r="F252" t="s">
        <v>679</v>
      </c>
      <c r="G252" s="3">
        <v>342</v>
      </c>
      <c r="H252" s="3">
        <v>0</v>
      </c>
      <c r="I252" s="3">
        <f>VLOOKUP(E252,codex!A$1:B$359,2,0)</f>
        <v>0</v>
      </c>
    </row>
    <row r="253" spans="1:9" x14ac:dyDescent="0.25">
      <c r="A253" t="s">
        <v>6</v>
      </c>
      <c r="B253" t="s">
        <v>7</v>
      </c>
      <c r="C253" t="s">
        <v>680</v>
      </c>
      <c r="D253" t="s">
        <v>681</v>
      </c>
      <c r="E253" t="str">
        <f t="shared" si="3"/>
        <v>com.github.javaparser.ast.validator.language.level.validations.chunks.NoBinaryIntegerLiteralsValidator</v>
      </c>
      <c r="F253" t="s">
        <v>682</v>
      </c>
      <c r="G253" s="3">
        <v>406</v>
      </c>
      <c r="H253" s="3">
        <v>0</v>
      </c>
      <c r="I253" s="3">
        <v>0</v>
      </c>
    </row>
    <row r="254" spans="1:9" x14ac:dyDescent="0.25">
      <c r="A254" t="s">
        <v>11</v>
      </c>
      <c r="B254" t="s">
        <v>7</v>
      </c>
      <c r="C254" t="s">
        <v>186</v>
      </c>
      <c r="D254" t="s">
        <v>683</v>
      </c>
      <c r="E254" t="str">
        <f t="shared" si="3"/>
        <v>net.bytebuddy.pool.TypePool.ForAnnotationProperty</v>
      </c>
      <c r="F254" t="s">
        <v>684</v>
      </c>
      <c r="G254" s="3">
        <v>351</v>
      </c>
      <c r="H254" s="3">
        <v>0</v>
      </c>
      <c r="I254" s="3">
        <f>VLOOKUP(E254,codex!A$1:B$359,2,0)</f>
        <v>0</v>
      </c>
    </row>
    <row r="255" spans="1:9" x14ac:dyDescent="0.25">
      <c r="A255" t="s">
        <v>11</v>
      </c>
      <c r="B255" t="s">
        <v>7</v>
      </c>
      <c r="C255" t="s">
        <v>685</v>
      </c>
      <c r="D255" t="s">
        <v>686</v>
      </c>
      <c r="E255" t="str">
        <f t="shared" si="3"/>
        <v>net.bytebuddy.implementation.FieldAccessor.Prepared</v>
      </c>
      <c r="F255" t="s">
        <v>687</v>
      </c>
      <c r="G255" s="3">
        <v>352</v>
      </c>
      <c r="H255" s="3">
        <v>0</v>
      </c>
      <c r="I255" s="3">
        <f>VLOOKUP(E255,codex!A$1:B$359,2,0)</f>
        <v>0</v>
      </c>
    </row>
    <row r="256" spans="1:9" x14ac:dyDescent="0.25">
      <c r="A256" t="s">
        <v>11</v>
      </c>
      <c r="B256" t="s">
        <v>7</v>
      </c>
      <c r="C256" t="s">
        <v>217</v>
      </c>
      <c r="D256" t="s">
        <v>688</v>
      </c>
      <c r="E256" t="str">
        <f t="shared" si="3"/>
        <v>net.bytebuddy.dynamic.scaffold.TypeWriter.MethodPool</v>
      </c>
      <c r="F256" t="s">
        <v>689</v>
      </c>
      <c r="G256" s="3">
        <v>483</v>
      </c>
      <c r="H256" s="3">
        <v>0</v>
      </c>
      <c r="I256" s="3">
        <f>VLOOKUP(E256,codex!A$1:B$359,2,0)</f>
        <v>1</v>
      </c>
    </row>
    <row r="257" spans="1:9" x14ac:dyDescent="0.25">
      <c r="A257" t="s">
        <v>85</v>
      </c>
      <c r="B257" t="s">
        <v>7</v>
      </c>
      <c r="C257" t="s">
        <v>267</v>
      </c>
      <c r="D257" t="s">
        <v>690</v>
      </c>
      <c r="E257" t="str">
        <f t="shared" si="3"/>
        <v>com.google.gson.FormattingStyle</v>
      </c>
      <c r="F257" t="s">
        <v>691</v>
      </c>
      <c r="G257" s="3">
        <v>322</v>
      </c>
      <c r="H257" s="3">
        <v>0</v>
      </c>
      <c r="I257" s="3">
        <f>VLOOKUP(E257,codex!A$1:B$359,2,0)</f>
        <v>0</v>
      </c>
    </row>
    <row r="258" spans="1:9" x14ac:dyDescent="0.25">
      <c r="A258" t="s">
        <v>24</v>
      </c>
      <c r="B258" t="s">
        <v>7</v>
      </c>
      <c r="C258" t="s">
        <v>692</v>
      </c>
      <c r="D258" t="s">
        <v>693</v>
      </c>
      <c r="E258" t="str">
        <f t="shared" si="3"/>
        <v>org.apache.commons.io.output.AbstractByteArrayOutputStream.InputStreamConstructor</v>
      </c>
      <c r="F258" t="s">
        <v>694</v>
      </c>
      <c r="G258" s="3">
        <v>335</v>
      </c>
      <c r="H258" s="3">
        <v>0</v>
      </c>
      <c r="I258" s="3">
        <f>VLOOKUP(E258,codex!A$1:B$359,2,0)</f>
        <v>0</v>
      </c>
    </row>
    <row r="259" spans="1:9" x14ac:dyDescent="0.25">
      <c r="A259" t="s">
        <v>11</v>
      </c>
      <c r="B259" t="s">
        <v>7</v>
      </c>
      <c r="C259" t="s">
        <v>695</v>
      </c>
      <c r="D259" t="s">
        <v>472</v>
      </c>
      <c r="E259" t="str">
        <f t="shared" ref="E259:E322" si="4">C259&amp;"."&amp;D259</f>
        <v>net.bytebuddy.description.modifier.ModifierContributor.ForType</v>
      </c>
      <c r="F259" t="s">
        <v>696</v>
      </c>
      <c r="G259" s="3">
        <v>337</v>
      </c>
      <c r="H259" s="3">
        <v>0</v>
      </c>
      <c r="I259" s="3">
        <f>VLOOKUP(E259,codex!A$1:B$359,2,0)</f>
        <v>0</v>
      </c>
    </row>
    <row r="260" spans="1:9" x14ac:dyDescent="0.25">
      <c r="A260" t="s">
        <v>148</v>
      </c>
      <c r="B260" t="s">
        <v>7</v>
      </c>
      <c r="C260" t="s">
        <v>313</v>
      </c>
      <c r="D260" t="s">
        <v>697</v>
      </c>
      <c r="E260" t="str">
        <f t="shared" si="4"/>
        <v>org.jsoup.helper.HttpClientExecutor</v>
      </c>
      <c r="F260" t="s">
        <v>698</v>
      </c>
      <c r="G260" s="3">
        <v>345</v>
      </c>
      <c r="H260" s="3">
        <v>0</v>
      </c>
      <c r="I260" s="3">
        <f>VLOOKUP(E260,codex!A$1:B$359,2,0)</f>
        <v>1</v>
      </c>
    </row>
    <row r="261" spans="1:9" x14ac:dyDescent="0.25">
      <c r="A261" t="s">
        <v>24</v>
      </c>
      <c r="B261" t="s">
        <v>7</v>
      </c>
      <c r="C261" t="s">
        <v>51</v>
      </c>
      <c r="D261" t="s">
        <v>699</v>
      </c>
      <c r="E261" t="str">
        <f t="shared" si="4"/>
        <v>org.apache.commons.io.input.ByteBufferCleaner</v>
      </c>
      <c r="F261" t="s">
        <v>700</v>
      </c>
      <c r="G261" s="3">
        <v>344</v>
      </c>
      <c r="H261" s="3">
        <v>0</v>
      </c>
      <c r="I261" s="3">
        <f>VLOOKUP(E261,codex!A$1:B$359,2,0)</f>
        <v>0</v>
      </c>
    </row>
    <row r="262" spans="1:9" x14ac:dyDescent="0.25">
      <c r="A262" t="s">
        <v>11</v>
      </c>
      <c r="B262" t="s">
        <v>7</v>
      </c>
      <c r="C262" t="s">
        <v>129</v>
      </c>
      <c r="D262" t="s">
        <v>701</v>
      </c>
      <c r="E262" t="str">
        <f t="shared" si="4"/>
        <v>net.bytebuddy.asm.MemberSubstitution.OfOriginalExpression</v>
      </c>
      <c r="F262" t="s">
        <v>702</v>
      </c>
      <c r="G262" s="3">
        <v>414</v>
      </c>
      <c r="H262" s="3">
        <v>0</v>
      </c>
      <c r="I262" s="3">
        <f>VLOOKUP(E262,codex!A$1:B$359,2,0)</f>
        <v>0</v>
      </c>
    </row>
    <row r="263" spans="1:9" x14ac:dyDescent="0.25">
      <c r="A263" t="s">
        <v>11</v>
      </c>
      <c r="B263" t="s">
        <v>7</v>
      </c>
      <c r="C263" t="s">
        <v>105</v>
      </c>
      <c r="D263" t="s">
        <v>703</v>
      </c>
      <c r="E263" t="str">
        <f t="shared" si="4"/>
        <v>net.bytebuddy.description.modifier.ParameterManifestation</v>
      </c>
      <c r="F263" t="s">
        <v>704</v>
      </c>
      <c r="G263" s="3">
        <v>346</v>
      </c>
      <c r="H263" s="3">
        <v>0</v>
      </c>
      <c r="I263" s="3">
        <f>VLOOKUP(E263,codex!A$1:B$359,2,0)</f>
        <v>0</v>
      </c>
    </row>
    <row r="264" spans="1:9" x14ac:dyDescent="0.25">
      <c r="A264" t="s">
        <v>6</v>
      </c>
      <c r="B264" t="s">
        <v>7</v>
      </c>
      <c r="C264" t="s">
        <v>675</v>
      </c>
      <c r="D264" t="s">
        <v>705</v>
      </c>
      <c r="E264" t="str">
        <f t="shared" si="4"/>
        <v>com.github.javaparser.resolution.Navigator</v>
      </c>
      <c r="F264" t="s">
        <v>706</v>
      </c>
      <c r="G264" s="3">
        <v>456</v>
      </c>
      <c r="H264" s="3">
        <v>1</v>
      </c>
      <c r="I264" s="3">
        <f>VLOOKUP(E264,codex!A$1:B$359,2,0)</f>
        <v>0</v>
      </c>
    </row>
    <row r="265" spans="1:9" x14ac:dyDescent="0.25">
      <c r="A265" t="s">
        <v>89</v>
      </c>
      <c r="B265" t="s">
        <v>7</v>
      </c>
      <c r="C265" t="s">
        <v>707</v>
      </c>
      <c r="D265" t="s">
        <v>708</v>
      </c>
      <c r="E265" t="str">
        <f t="shared" si="4"/>
        <v>org.apache.commons.lang3.builder.HashCodeBuilder</v>
      </c>
      <c r="F265" t="s">
        <v>709</v>
      </c>
      <c r="G265" s="3">
        <v>363</v>
      </c>
      <c r="H265" s="3">
        <v>1</v>
      </c>
      <c r="I265" s="3">
        <f>VLOOKUP(E265,codex!A$1:B$359,2,0)</f>
        <v>1</v>
      </c>
    </row>
    <row r="266" spans="1:9" x14ac:dyDescent="0.25">
      <c r="A266" t="s">
        <v>11</v>
      </c>
      <c r="B266" t="s">
        <v>7</v>
      </c>
      <c r="C266" t="s">
        <v>710</v>
      </c>
      <c r="D266" t="s">
        <v>711</v>
      </c>
      <c r="E266" t="str">
        <f t="shared" si="4"/>
        <v>net.bytebuddy.implementation.bind.annotation.TargetMethodAnnotationDrivenBinder.Handler</v>
      </c>
      <c r="F266" t="s">
        <v>712</v>
      </c>
      <c r="G266" s="3">
        <v>416</v>
      </c>
      <c r="H266" s="3">
        <v>0</v>
      </c>
      <c r="I266" s="3">
        <f>VLOOKUP(E266,codex!A$1:B$359,2,0)</f>
        <v>0</v>
      </c>
    </row>
    <row r="267" spans="1:9" x14ac:dyDescent="0.25">
      <c r="A267" t="s">
        <v>11</v>
      </c>
      <c r="B267" t="s">
        <v>7</v>
      </c>
      <c r="C267" t="s">
        <v>203</v>
      </c>
      <c r="D267" t="s">
        <v>713</v>
      </c>
      <c r="E267" t="str">
        <f t="shared" si="4"/>
        <v>net.bytebuddy.description.TypeVariableSource.Visitor</v>
      </c>
      <c r="F267" t="s">
        <v>714</v>
      </c>
      <c r="G267" s="3">
        <v>342</v>
      </c>
      <c r="H267" s="3">
        <v>0</v>
      </c>
      <c r="I267" s="3">
        <f>VLOOKUP(E267,codex!A$1:B$359,2,0)</f>
        <v>0</v>
      </c>
    </row>
    <row r="268" spans="1:9" x14ac:dyDescent="0.25">
      <c r="A268" t="s">
        <v>6</v>
      </c>
      <c r="B268" t="s">
        <v>7</v>
      </c>
      <c r="C268" t="s">
        <v>434</v>
      </c>
      <c r="D268" t="s">
        <v>715</v>
      </c>
      <c r="E268" t="str">
        <f t="shared" si="4"/>
        <v>com.github.javaparser.GeneratedJavaParserTokenManager</v>
      </c>
      <c r="F268" t="s">
        <v>716</v>
      </c>
      <c r="G268" s="3">
        <v>435</v>
      </c>
      <c r="H268" s="3">
        <v>1</v>
      </c>
      <c r="I268" s="3">
        <f>VLOOKUP(E268,codex!A$1:B$359,2,0)</f>
        <v>1</v>
      </c>
    </row>
    <row r="269" spans="1:9" x14ac:dyDescent="0.25">
      <c r="A269" t="s">
        <v>85</v>
      </c>
      <c r="B269" t="s">
        <v>7</v>
      </c>
      <c r="C269" t="s">
        <v>469</v>
      </c>
      <c r="D269" t="s">
        <v>717</v>
      </c>
      <c r="E269" t="str">
        <f t="shared" si="4"/>
        <v>com.google.gson.internal.Streams</v>
      </c>
      <c r="F269" t="s">
        <v>718</v>
      </c>
      <c r="G269" s="3">
        <v>387</v>
      </c>
      <c r="H269" s="3">
        <v>0</v>
      </c>
      <c r="I269" s="3">
        <f>VLOOKUP(E269,codex!A$1:B$359,2,0)</f>
        <v>0</v>
      </c>
    </row>
    <row r="270" spans="1:9" x14ac:dyDescent="0.25">
      <c r="A270" t="s">
        <v>11</v>
      </c>
      <c r="B270" t="s">
        <v>7</v>
      </c>
      <c r="C270" t="s">
        <v>555</v>
      </c>
      <c r="D270" t="s">
        <v>719</v>
      </c>
      <c r="E270" t="str">
        <f t="shared" si="4"/>
        <v>net.bytebuddy.implementation.bytecode.Throw</v>
      </c>
      <c r="F270" t="s">
        <v>720</v>
      </c>
      <c r="G270" s="3">
        <v>353</v>
      </c>
      <c r="H270" s="3">
        <v>0</v>
      </c>
      <c r="I270" s="3">
        <f>VLOOKUP(E270,codex!A$1:B$359,2,0)</f>
        <v>0</v>
      </c>
    </row>
    <row r="271" spans="1:9" x14ac:dyDescent="0.25">
      <c r="A271" t="s">
        <v>11</v>
      </c>
      <c r="B271" t="s">
        <v>7</v>
      </c>
      <c r="C271" t="s">
        <v>562</v>
      </c>
      <c r="D271" t="s">
        <v>721</v>
      </c>
      <c r="E271" t="str">
        <f t="shared" si="4"/>
        <v>net.bytebuddy.implementation.attribute.MethodAttributeAppender.OnMethodParameter</v>
      </c>
      <c r="F271" t="s">
        <v>722</v>
      </c>
      <c r="G271" s="3">
        <v>359</v>
      </c>
      <c r="H271" s="3">
        <v>0</v>
      </c>
      <c r="I271" s="3">
        <f>VLOOKUP(E271,codex!A$1:B$359,2,0)</f>
        <v>0</v>
      </c>
    </row>
    <row r="272" spans="1:9" x14ac:dyDescent="0.25">
      <c r="A272" t="s">
        <v>6</v>
      </c>
      <c r="B272" t="s">
        <v>7</v>
      </c>
      <c r="C272" t="s">
        <v>723</v>
      </c>
      <c r="D272" t="s">
        <v>724</v>
      </c>
      <c r="E272" t="str">
        <f t="shared" si="4"/>
        <v>com.github.javaparser.ast.stmt.AssertStmt</v>
      </c>
      <c r="F272" t="s">
        <v>725</v>
      </c>
      <c r="G272" s="3">
        <v>437</v>
      </c>
      <c r="H272" s="3">
        <v>0</v>
      </c>
      <c r="I272" s="3">
        <f>VLOOKUP(E272,codex!A$1:B$359,2,0)</f>
        <v>0</v>
      </c>
    </row>
    <row r="273" spans="1:9" x14ac:dyDescent="0.25">
      <c r="A273" t="s">
        <v>6</v>
      </c>
      <c r="B273" t="s">
        <v>7</v>
      </c>
      <c r="C273" t="s">
        <v>371</v>
      </c>
      <c r="D273" t="s">
        <v>323</v>
      </c>
      <c r="E273" t="str">
        <f t="shared" si="4"/>
        <v>com.github.javaparser.ast.type.Type</v>
      </c>
      <c r="F273" t="s">
        <v>726</v>
      </c>
      <c r="G273" s="3">
        <v>561</v>
      </c>
      <c r="H273" s="3">
        <v>1</v>
      </c>
      <c r="I273" s="3">
        <f>VLOOKUP(E273,codex!A$1:B$359,2,0)</f>
        <v>0</v>
      </c>
    </row>
    <row r="274" spans="1:9" x14ac:dyDescent="0.25">
      <c r="A274" t="s">
        <v>148</v>
      </c>
      <c r="B274" t="s">
        <v>7</v>
      </c>
      <c r="C274" t="s">
        <v>727</v>
      </c>
      <c r="D274" t="s">
        <v>728</v>
      </c>
      <c r="E274" t="str">
        <f t="shared" si="4"/>
        <v>org.jsoup.parser.ParseErrorList</v>
      </c>
      <c r="F274" t="s">
        <v>729</v>
      </c>
      <c r="G274" s="3">
        <v>327</v>
      </c>
      <c r="H274" s="3">
        <v>0</v>
      </c>
      <c r="I274" s="3">
        <f>VLOOKUP(E274,codex!A$1:B$359,2,0)</f>
        <v>0</v>
      </c>
    </row>
    <row r="275" spans="1:9" x14ac:dyDescent="0.25">
      <c r="A275" t="s">
        <v>24</v>
      </c>
      <c r="B275" t="s">
        <v>7</v>
      </c>
      <c r="C275" t="s">
        <v>730</v>
      </c>
      <c r="D275" t="s">
        <v>58</v>
      </c>
      <c r="E275" t="str">
        <f t="shared" si="4"/>
        <v>org.apache.commons.io.input.QueueInputStream.Builder</v>
      </c>
      <c r="F275" t="s">
        <v>731</v>
      </c>
      <c r="G275" s="3">
        <v>329</v>
      </c>
      <c r="H275" s="3">
        <v>0</v>
      </c>
      <c r="I275" s="3">
        <f>VLOOKUP(E275,codex!A$1:B$359,2,0)</f>
        <v>0</v>
      </c>
    </row>
    <row r="276" spans="1:9" x14ac:dyDescent="0.25">
      <c r="A276" t="s">
        <v>75</v>
      </c>
      <c r="B276" t="s">
        <v>7</v>
      </c>
      <c r="C276" t="s">
        <v>732</v>
      </c>
      <c r="D276" t="s">
        <v>733</v>
      </c>
      <c r="E276" t="str">
        <f t="shared" si="4"/>
        <v>com.google.common.jimfs.FileFactory.SymbolicLinkSupplier</v>
      </c>
      <c r="F276" t="s">
        <v>734</v>
      </c>
      <c r="G276" s="3">
        <v>342</v>
      </c>
      <c r="H276" s="3">
        <v>0</v>
      </c>
      <c r="I276" s="3">
        <f>VLOOKUP(E276,codex!A$1:B$359,2,0)</f>
        <v>0</v>
      </c>
    </row>
    <row r="277" spans="1:9" x14ac:dyDescent="0.25">
      <c r="A277" t="s">
        <v>11</v>
      </c>
      <c r="B277" t="s">
        <v>7</v>
      </c>
      <c r="C277" t="s">
        <v>440</v>
      </c>
      <c r="D277" t="s">
        <v>735</v>
      </c>
      <c r="E277" t="str">
        <f t="shared" si="4"/>
        <v>net.bytebuddy.dynamic.loading.InjectionClassLoader</v>
      </c>
      <c r="F277" t="s">
        <v>736</v>
      </c>
      <c r="G277" s="3">
        <v>340</v>
      </c>
      <c r="H277" s="3">
        <v>0</v>
      </c>
      <c r="I277" s="3">
        <f>VLOOKUP(E277,codex!A$1:B$359,2,0)</f>
        <v>0</v>
      </c>
    </row>
    <row r="278" spans="1:9" x14ac:dyDescent="0.25">
      <c r="A278" t="s">
        <v>11</v>
      </c>
      <c r="B278" t="s">
        <v>7</v>
      </c>
      <c r="C278" t="s">
        <v>145</v>
      </c>
      <c r="D278" t="s">
        <v>737</v>
      </c>
      <c r="E278" t="str">
        <f t="shared" si="4"/>
        <v>net.bytebuddy.implementation.auxiliary.TypeProxy.ForSuperMethodByConstructor</v>
      </c>
      <c r="F278" t="s">
        <v>738</v>
      </c>
      <c r="G278" s="3">
        <v>403</v>
      </c>
      <c r="H278" s="3">
        <v>0</v>
      </c>
      <c r="I278" s="3">
        <f>VLOOKUP(E278,codex!A$1:B$359,2,0)</f>
        <v>0</v>
      </c>
    </row>
    <row r="279" spans="1:9" x14ac:dyDescent="0.25">
      <c r="A279" t="s">
        <v>31</v>
      </c>
      <c r="B279" t="s">
        <v>7</v>
      </c>
      <c r="C279" t="s">
        <v>114</v>
      </c>
      <c r="D279" t="s">
        <v>739</v>
      </c>
      <c r="E279" t="str">
        <f t="shared" si="4"/>
        <v>com.google.zxing.oned.rss.expanded.decoders.GeneralAppIdDecoder</v>
      </c>
      <c r="F279" t="s">
        <v>740</v>
      </c>
      <c r="G279" s="3">
        <v>465</v>
      </c>
      <c r="H279" s="3">
        <v>1</v>
      </c>
      <c r="I279" s="3">
        <f>VLOOKUP(E279,codex!A$1:B$359,2,0)</f>
        <v>1</v>
      </c>
    </row>
    <row r="280" spans="1:9" x14ac:dyDescent="0.25">
      <c r="A280" t="s">
        <v>11</v>
      </c>
      <c r="B280" t="s">
        <v>7</v>
      </c>
      <c r="C280" t="s">
        <v>200</v>
      </c>
      <c r="D280" t="s">
        <v>741</v>
      </c>
      <c r="E280" t="str">
        <f t="shared" si="4"/>
        <v>net.bytebuddy.build.Plugin.Ambiguous</v>
      </c>
      <c r="F280" t="s">
        <v>742</v>
      </c>
      <c r="G280" s="3">
        <v>340</v>
      </c>
      <c r="H280" s="3">
        <v>0</v>
      </c>
      <c r="I280" s="3">
        <f>VLOOKUP(E280,codex!A$1:B$359,2,0)</f>
        <v>0</v>
      </c>
    </row>
    <row r="281" spans="1:9" x14ac:dyDescent="0.25">
      <c r="A281" t="s">
        <v>6</v>
      </c>
      <c r="B281" t="s">
        <v>7</v>
      </c>
      <c r="C281" t="s">
        <v>316</v>
      </c>
      <c r="D281" t="s">
        <v>743</v>
      </c>
      <c r="E281" t="str">
        <f t="shared" si="4"/>
        <v>com.github.javaparser.ast.visitor.NodeFinderVisitor</v>
      </c>
      <c r="F281" t="s">
        <v>744</v>
      </c>
      <c r="G281" s="3">
        <v>1551</v>
      </c>
      <c r="H281" s="3">
        <v>1</v>
      </c>
      <c r="I281" s="3">
        <f>VLOOKUP(E281,codex!A$1:B$359,2,0)</f>
        <v>1</v>
      </c>
    </row>
    <row r="282" spans="1:9" x14ac:dyDescent="0.25">
      <c r="A282" t="s">
        <v>41</v>
      </c>
      <c r="B282" t="s">
        <v>7</v>
      </c>
      <c r="C282" t="s">
        <v>745</v>
      </c>
      <c r="D282" t="s">
        <v>746</v>
      </c>
      <c r="E282" t="str">
        <f t="shared" si="4"/>
        <v>org.adoptopenjdk.jitwatch.ui.viewer.TextViewerStage</v>
      </c>
      <c r="F282" t="s">
        <v>747</v>
      </c>
      <c r="G282" s="3">
        <v>364</v>
      </c>
      <c r="H282" s="3">
        <v>0</v>
      </c>
      <c r="I282" s="3">
        <f>VLOOKUP(E282,codex!A$1:B$359,2,0)</f>
        <v>0</v>
      </c>
    </row>
    <row r="283" spans="1:9" x14ac:dyDescent="0.25">
      <c r="A283" t="s">
        <v>89</v>
      </c>
      <c r="B283" t="s">
        <v>7</v>
      </c>
      <c r="C283" t="s">
        <v>633</v>
      </c>
      <c r="D283" t="s">
        <v>748</v>
      </c>
      <c r="E283" t="str">
        <f t="shared" si="4"/>
        <v>org.apache.commons.lang3.text.WordUtils</v>
      </c>
      <c r="F283" t="s">
        <v>749</v>
      </c>
      <c r="G283" s="3">
        <v>334</v>
      </c>
      <c r="H283" s="3">
        <v>0</v>
      </c>
      <c r="I283" s="3">
        <f>VLOOKUP(E283,codex!A$1:B$359,2,0)</f>
        <v>1</v>
      </c>
    </row>
    <row r="284" spans="1:9" x14ac:dyDescent="0.25">
      <c r="A284" t="s">
        <v>31</v>
      </c>
      <c r="B284" t="s">
        <v>7</v>
      </c>
      <c r="C284" t="s">
        <v>750</v>
      </c>
      <c r="D284" t="s">
        <v>751</v>
      </c>
      <c r="E284" t="str">
        <f t="shared" si="4"/>
        <v>com.google.zxing.client.android.encode.Formatter</v>
      </c>
      <c r="F284" t="s">
        <v>752</v>
      </c>
      <c r="G284" s="3">
        <v>325</v>
      </c>
      <c r="H284" s="3">
        <v>0</v>
      </c>
      <c r="I284" s="3">
        <f>VLOOKUP(E284,codex!A$1:B$359,2,0)</f>
        <v>0</v>
      </c>
    </row>
    <row r="285" spans="1:9" x14ac:dyDescent="0.25">
      <c r="A285" t="s">
        <v>6</v>
      </c>
      <c r="B285" t="s">
        <v>7</v>
      </c>
      <c r="C285" t="s">
        <v>753</v>
      </c>
      <c r="D285" t="s">
        <v>754</v>
      </c>
      <c r="E285" t="str">
        <f t="shared" si="4"/>
        <v>com.github.javaparser.printer.concretesyntaxmodel.CsmList</v>
      </c>
      <c r="F285" t="s">
        <v>755</v>
      </c>
      <c r="G285" s="3">
        <v>433</v>
      </c>
      <c r="H285" s="3">
        <v>0</v>
      </c>
      <c r="I285" s="3">
        <f>VLOOKUP(E285,codex!A$1:B$359,2,0)</f>
        <v>0</v>
      </c>
    </row>
    <row r="286" spans="1:9" x14ac:dyDescent="0.25">
      <c r="A286" t="s">
        <v>89</v>
      </c>
      <c r="B286" t="s">
        <v>7</v>
      </c>
      <c r="C286" t="s">
        <v>535</v>
      </c>
      <c r="D286" t="s">
        <v>756</v>
      </c>
      <c r="E286" t="str">
        <f t="shared" si="4"/>
        <v>org.apache.commons.lang3.ArrayFill</v>
      </c>
      <c r="F286" t="s">
        <v>757</v>
      </c>
      <c r="G286" s="3">
        <v>335</v>
      </c>
      <c r="H286" s="3">
        <v>0</v>
      </c>
      <c r="I286" s="3">
        <f>VLOOKUP(E286,codex!A$1:B$359,2,0)</f>
        <v>0</v>
      </c>
    </row>
    <row r="287" spans="1:9" x14ac:dyDescent="0.25">
      <c r="A287" t="s">
        <v>41</v>
      </c>
      <c r="B287" t="s">
        <v>7</v>
      </c>
      <c r="C287" t="s">
        <v>410</v>
      </c>
      <c r="D287" t="s">
        <v>758</v>
      </c>
      <c r="E287" t="str">
        <f t="shared" si="4"/>
        <v>org.adoptopenjdk.jitwatch.ui.Dialogs.Response</v>
      </c>
      <c r="F287" t="s">
        <v>759</v>
      </c>
      <c r="G287" s="3">
        <v>332</v>
      </c>
      <c r="H287" s="3">
        <v>0</v>
      </c>
      <c r="I287" s="3">
        <f>VLOOKUP(E287,codex!A$1:B$359,2,0)</f>
        <v>0</v>
      </c>
    </row>
    <row r="288" spans="1:9" x14ac:dyDescent="0.25">
      <c r="A288" t="s">
        <v>11</v>
      </c>
      <c r="B288" t="s">
        <v>7</v>
      </c>
      <c r="C288" t="s">
        <v>760</v>
      </c>
      <c r="D288" t="s">
        <v>218</v>
      </c>
      <c r="E288" t="str">
        <f t="shared" si="4"/>
        <v>net.bytebuddy.dynamic.scaffold.inline.MethodRebaseResolver.Default</v>
      </c>
      <c r="F288" t="s">
        <v>761</v>
      </c>
      <c r="G288" s="3">
        <v>398</v>
      </c>
      <c r="H288" s="3">
        <v>0</v>
      </c>
      <c r="I288" s="3">
        <f>VLOOKUP(E288,codex!A$1:B$359,2,0)</f>
        <v>0</v>
      </c>
    </row>
    <row r="289" spans="1:9" x14ac:dyDescent="0.25">
      <c r="A289" t="s">
        <v>89</v>
      </c>
      <c r="B289" t="s">
        <v>7</v>
      </c>
      <c r="C289" t="s">
        <v>535</v>
      </c>
      <c r="D289" t="s">
        <v>762</v>
      </c>
      <c r="E289" t="str">
        <f t="shared" si="4"/>
        <v>org.apache.commons.lang3.ArrayUtils</v>
      </c>
      <c r="F289" t="s">
        <v>763</v>
      </c>
      <c r="G289" s="3">
        <v>396</v>
      </c>
      <c r="H289" s="3">
        <v>1</v>
      </c>
      <c r="I289" s="3">
        <f>VLOOKUP(E289,codex!A$1:B$359,2,0)</f>
        <v>1</v>
      </c>
    </row>
    <row r="290" spans="1:9" x14ac:dyDescent="0.25">
      <c r="A290" t="s">
        <v>11</v>
      </c>
      <c r="B290" t="s">
        <v>7</v>
      </c>
      <c r="C290" t="s">
        <v>354</v>
      </c>
      <c r="D290" t="s">
        <v>764</v>
      </c>
      <c r="E290" t="str">
        <f t="shared" si="4"/>
        <v>net.bytebuddy.build.gradle.android.ByteBuddyAndroidPlugin.GetProjectJarsFunction</v>
      </c>
      <c r="F290" t="s">
        <v>765</v>
      </c>
      <c r="G290" s="3">
        <v>348</v>
      </c>
      <c r="H290" s="3">
        <v>0</v>
      </c>
      <c r="I290" s="3">
        <f>VLOOKUP(E290,codex!A$1:B$359,2,0)</f>
        <v>0</v>
      </c>
    </row>
    <row r="291" spans="1:9" x14ac:dyDescent="0.25">
      <c r="A291" t="s">
        <v>11</v>
      </c>
      <c r="B291" t="s">
        <v>7</v>
      </c>
      <c r="C291" t="s">
        <v>129</v>
      </c>
      <c r="D291" t="s">
        <v>766</v>
      </c>
      <c r="E291" t="str">
        <f t="shared" si="4"/>
        <v>net.bytebuddy.asm.MemberSubstitution.ForThisReference</v>
      </c>
      <c r="F291" t="s">
        <v>767</v>
      </c>
      <c r="G291" s="3">
        <v>422</v>
      </c>
      <c r="H291" s="3">
        <v>0</v>
      </c>
      <c r="I291" s="3">
        <f>VLOOKUP(E291,codex!A$1:B$359,2,0)</f>
        <v>0</v>
      </c>
    </row>
    <row r="292" spans="1:9" x14ac:dyDescent="0.25">
      <c r="A292" t="s">
        <v>6</v>
      </c>
      <c r="B292" t="s">
        <v>7</v>
      </c>
      <c r="C292" t="s">
        <v>768</v>
      </c>
      <c r="D292" t="s">
        <v>769</v>
      </c>
      <c r="E292" t="str">
        <f t="shared" si="4"/>
        <v>com.github.javaparser.serialization.JavaParserJsonSerializer.JsonTokenRange</v>
      </c>
      <c r="F292" t="s">
        <v>770</v>
      </c>
      <c r="G292" s="3">
        <v>343</v>
      </c>
      <c r="H292" s="3">
        <v>0</v>
      </c>
      <c r="I292" s="3">
        <f>VLOOKUP(E292,codex!A$1:B$359,2,0)</f>
        <v>0</v>
      </c>
    </row>
    <row r="293" spans="1:9" x14ac:dyDescent="0.25">
      <c r="A293" t="s">
        <v>11</v>
      </c>
      <c r="B293" t="s">
        <v>7</v>
      </c>
      <c r="C293" t="s">
        <v>582</v>
      </c>
      <c r="D293" t="s">
        <v>771</v>
      </c>
      <c r="E293" t="str">
        <f t="shared" si="4"/>
        <v>net.bytebuddy.description.ModifierReviewable.OfByteCodeElement</v>
      </c>
      <c r="F293" t="s">
        <v>772</v>
      </c>
      <c r="G293" s="3">
        <v>337</v>
      </c>
      <c r="H293" s="3">
        <v>0</v>
      </c>
      <c r="I293" s="3">
        <f>VLOOKUP(E293,codex!A$1:B$359,2,0)</f>
        <v>0</v>
      </c>
    </row>
    <row r="294" spans="1:9" x14ac:dyDescent="0.25">
      <c r="A294" t="s">
        <v>11</v>
      </c>
      <c r="B294" t="s">
        <v>7</v>
      </c>
      <c r="C294" t="s">
        <v>186</v>
      </c>
      <c r="D294" t="s">
        <v>773</v>
      </c>
      <c r="E294" t="str">
        <f t="shared" si="4"/>
        <v>net.bytebuddy.pool.TypePool.LazyNonGenericReceiverType</v>
      </c>
      <c r="F294" t="s">
        <v>774</v>
      </c>
      <c r="G294" s="3">
        <v>344</v>
      </c>
      <c r="H294" s="3">
        <v>0</v>
      </c>
      <c r="I294" s="3">
        <f>VLOOKUP(E294,codex!A$1:B$359,2,0)</f>
        <v>0</v>
      </c>
    </row>
    <row r="295" spans="1:9" x14ac:dyDescent="0.25">
      <c r="A295" t="s">
        <v>11</v>
      </c>
      <c r="B295" t="s">
        <v>7</v>
      </c>
      <c r="C295" t="s">
        <v>328</v>
      </c>
      <c r="D295" t="s">
        <v>775</v>
      </c>
      <c r="E295" t="str">
        <f t="shared" si="4"/>
        <v>net.bytebuddy.description.type.TypeDescription.ForErasure</v>
      </c>
      <c r="F295" t="s">
        <v>776</v>
      </c>
      <c r="G295" s="3">
        <v>352</v>
      </c>
      <c r="H295" s="3">
        <v>0</v>
      </c>
      <c r="I295" s="3">
        <f>VLOOKUP(E295,codex!A$1:B$359,2,0)</f>
        <v>0</v>
      </c>
    </row>
    <row r="296" spans="1:9" x14ac:dyDescent="0.25">
      <c r="A296" t="s">
        <v>31</v>
      </c>
      <c r="B296" t="s">
        <v>7</v>
      </c>
      <c r="C296" t="s">
        <v>460</v>
      </c>
      <c r="D296" t="s">
        <v>777</v>
      </c>
      <c r="E296" t="str">
        <f t="shared" si="4"/>
        <v>com.google.zxing.client.result.VINResultParser</v>
      </c>
      <c r="F296" t="s">
        <v>778</v>
      </c>
      <c r="G296" s="3">
        <v>354</v>
      </c>
      <c r="H296" s="3">
        <v>0</v>
      </c>
      <c r="I296" s="3">
        <f>VLOOKUP(E296,codex!A$1:B$359,2,0)</f>
        <v>0</v>
      </c>
    </row>
    <row r="297" spans="1:9" x14ac:dyDescent="0.25">
      <c r="A297" t="s">
        <v>11</v>
      </c>
      <c r="B297" t="s">
        <v>7</v>
      </c>
      <c r="C297" t="s">
        <v>12</v>
      </c>
      <c r="D297" t="s">
        <v>779</v>
      </c>
      <c r="E297" t="str">
        <f t="shared" si="4"/>
        <v>net.bytebuddy.dynamic.DynamicType.MethodDefinition</v>
      </c>
      <c r="F297" t="s">
        <v>780</v>
      </c>
      <c r="G297" s="3">
        <v>427</v>
      </c>
      <c r="H297" s="3">
        <v>0</v>
      </c>
      <c r="I297" s="3">
        <f>VLOOKUP(E297,codex!A$1:B$359,2,0)</f>
        <v>1</v>
      </c>
    </row>
    <row r="298" spans="1:9" x14ac:dyDescent="0.25">
      <c r="A298" t="s">
        <v>89</v>
      </c>
      <c r="B298" t="s">
        <v>7</v>
      </c>
      <c r="C298" t="s">
        <v>781</v>
      </c>
      <c r="D298" t="s">
        <v>782</v>
      </c>
      <c r="E298" t="str">
        <f t="shared" si="4"/>
        <v>org.apache.commons.lang3.tuple.ImmutablePair</v>
      </c>
      <c r="F298" t="s">
        <v>783</v>
      </c>
      <c r="G298" s="3">
        <v>342</v>
      </c>
      <c r="H298" s="3">
        <v>0</v>
      </c>
      <c r="I298" s="3">
        <f>VLOOKUP(E298,codex!A$1:B$359,2,0)</f>
        <v>0</v>
      </c>
    </row>
    <row r="299" spans="1:9" x14ac:dyDescent="0.25">
      <c r="A299" t="s">
        <v>89</v>
      </c>
      <c r="B299" t="s">
        <v>7</v>
      </c>
      <c r="C299" t="s">
        <v>784</v>
      </c>
      <c r="D299" t="s">
        <v>785</v>
      </c>
      <c r="E299" t="str">
        <f t="shared" si="4"/>
        <v>org.apache.commons.lang3.time.StopWatch.State</v>
      </c>
      <c r="F299" t="s">
        <v>786</v>
      </c>
      <c r="G299" s="3">
        <v>328</v>
      </c>
      <c r="H299" s="3">
        <v>0</v>
      </c>
      <c r="I299" s="3">
        <f>VLOOKUP(E299,codex!A$1:B$359,2,0)</f>
        <v>0</v>
      </c>
    </row>
    <row r="300" spans="1:9" x14ac:dyDescent="0.25">
      <c r="A300" t="s">
        <v>168</v>
      </c>
      <c r="B300" t="s">
        <v>7</v>
      </c>
      <c r="C300" t="s">
        <v>787</v>
      </c>
      <c r="D300" t="s">
        <v>788</v>
      </c>
      <c r="E300" t="str">
        <f t="shared" si="4"/>
        <v>com.google.googlejavaformat.Newlines.LineIterator</v>
      </c>
      <c r="F300" t="s">
        <v>789</v>
      </c>
      <c r="G300" s="3">
        <v>326</v>
      </c>
      <c r="H300" s="3">
        <v>0</v>
      </c>
      <c r="I300" s="3">
        <f>VLOOKUP(E300,codex!A$1:B$359,2,0)</f>
        <v>0</v>
      </c>
    </row>
    <row r="301" spans="1:9" x14ac:dyDescent="0.25">
      <c r="A301" t="s">
        <v>89</v>
      </c>
      <c r="B301" t="s">
        <v>7</v>
      </c>
      <c r="C301" t="s">
        <v>790</v>
      </c>
      <c r="D301" t="s">
        <v>791</v>
      </c>
      <c r="E301" t="str">
        <f t="shared" si="4"/>
        <v>org.apache.commons.lang3.function.FailableCallable</v>
      </c>
      <c r="F301" t="s">
        <v>792</v>
      </c>
      <c r="G301" s="3">
        <v>328</v>
      </c>
      <c r="H301" s="3">
        <v>0</v>
      </c>
      <c r="I301" s="3">
        <f>VLOOKUP(E301,codex!A$1:B$359,2,0)</f>
        <v>0</v>
      </c>
    </row>
    <row r="302" spans="1:9" x14ac:dyDescent="0.25">
      <c r="A302" t="s">
        <v>11</v>
      </c>
      <c r="B302" t="s">
        <v>7</v>
      </c>
      <c r="C302" t="s">
        <v>529</v>
      </c>
      <c r="D302" t="s">
        <v>793</v>
      </c>
      <c r="E302" t="str">
        <f t="shared" si="4"/>
        <v>net.bytebuddy.matcher.CollectionErasureMatcher</v>
      </c>
      <c r="F302" t="s">
        <v>794</v>
      </c>
      <c r="G302" s="3">
        <v>352</v>
      </c>
      <c r="H302" s="3">
        <v>0</v>
      </c>
      <c r="I302" s="3">
        <f>VLOOKUP(E302,codex!A$1:B$359,2,0)</f>
        <v>0</v>
      </c>
    </row>
    <row r="303" spans="1:9" x14ac:dyDescent="0.25">
      <c r="A303" t="s">
        <v>6</v>
      </c>
      <c r="B303" t="s">
        <v>7</v>
      </c>
      <c r="C303" t="s">
        <v>8</v>
      </c>
      <c r="D303" t="s">
        <v>795</v>
      </c>
      <c r="E303" t="str">
        <f t="shared" si="4"/>
        <v>com.github.javaparser.symbolsolver.javaparsermodel.contexts.ForEachStatementContext</v>
      </c>
      <c r="F303" t="s">
        <v>796</v>
      </c>
      <c r="G303" s="3">
        <v>457</v>
      </c>
      <c r="H303" s="3">
        <v>0</v>
      </c>
      <c r="I303" s="3">
        <f>VLOOKUP(E303,codex!A$1:B$359,2,0)</f>
        <v>0</v>
      </c>
    </row>
    <row r="304" spans="1:9" x14ac:dyDescent="0.25">
      <c r="A304" t="s">
        <v>89</v>
      </c>
      <c r="B304" t="s">
        <v>7</v>
      </c>
      <c r="C304" t="s">
        <v>797</v>
      </c>
      <c r="D304" t="s">
        <v>798</v>
      </c>
      <c r="E304" t="str">
        <f t="shared" si="4"/>
        <v>org.apache.commons.lang3.ThreadUtils.AlwaysTruePredicate</v>
      </c>
      <c r="F304" t="s">
        <v>799</v>
      </c>
      <c r="G304" s="3">
        <v>329</v>
      </c>
      <c r="H304" s="3">
        <v>0</v>
      </c>
      <c r="I304" s="3">
        <f>VLOOKUP(E304,codex!A$1:B$359,2,0)</f>
        <v>0</v>
      </c>
    </row>
    <row r="305" spans="1:9" x14ac:dyDescent="0.25">
      <c r="A305" t="s">
        <v>148</v>
      </c>
      <c r="B305" t="s">
        <v>7</v>
      </c>
      <c r="C305" t="s">
        <v>800</v>
      </c>
      <c r="D305" t="s">
        <v>801</v>
      </c>
      <c r="E305" t="str">
        <f t="shared" si="4"/>
        <v>org.jsoup.Connection.KeyVal</v>
      </c>
      <c r="F305" t="s">
        <v>802</v>
      </c>
      <c r="G305" s="3">
        <v>318</v>
      </c>
      <c r="H305" s="3">
        <v>0</v>
      </c>
      <c r="I305" s="3">
        <f>VLOOKUP(E305,codex!A$1:B$359,2,0)</f>
        <v>0</v>
      </c>
    </row>
    <row r="306" spans="1:9" x14ac:dyDescent="0.25">
      <c r="A306" t="s">
        <v>11</v>
      </c>
      <c r="B306" t="s">
        <v>7</v>
      </c>
      <c r="C306" t="s">
        <v>803</v>
      </c>
      <c r="D306" t="s">
        <v>804</v>
      </c>
      <c r="E306" t="str">
        <f t="shared" si="4"/>
        <v>net.bytebuddy.dynamic.loading.ClassInjector.UsingReflection</v>
      </c>
      <c r="F306" t="s">
        <v>805</v>
      </c>
      <c r="G306" s="3">
        <v>424</v>
      </c>
      <c r="H306" s="3">
        <v>0</v>
      </c>
      <c r="I306" s="3">
        <f>VLOOKUP(E306,codex!A$1:B$359,2,0)</f>
        <v>1</v>
      </c>
    </row>
    <row r="307" spans="1:9" x14ac:dyDescent="0.25">
      <c r="A307" t="s">
        <v>6</v>
      </c>
      <c r="B307" t="s">
        <v>7</v>
      </c>
      <c r="C307" t="s">
        <v>806</v>
      </c>
      <c r="D307" t="s">
        <v>807</v>
      </c>
      <c r="E307" t="str">
        <f t="shared" si="4"/>
        <v>foo.B</v>
      </c>
      <c r="F307" t="s">
        <v>808</v>
      </c>
      <c r="G307" s="3">
        <v>327</v>
      </c>
      <c r="H307" s="3">
        <v>0</v>
      </c>
      <c r="I307" s="3">
        <f>VLOOKUP(E307,codex!A$1:B$359,2,0)</f>
        <v>0</v>
      </c>
    </row>
    <row r="308" spans="1:9" x14ac:dyDescent="0.25">
      <c r="A308" t="s">
        <v>6</v>
      </c>
      <c r="B308" t="s">
        <v>7</v>
      </c>
      <c r="C308" t="s">
        <v>434</v>
      </c>
      <c r="D308" t="s">
        <v>809</v>
      </c>
      <c r="E308" t="str">
        <f t="shared" si="4"/>
        <v>com.github.javaparser.GeneratedJavaParserBase</v>
      </c>
      <c r="F308" t="s">
        <v>810</v>
      </c>
      <c r="G308" s="3">
        <v>568</v>
      </c>
      <c r="H308" s="3">
        <v>1</v>
      </c>
      <c r="I308" s="3">
        <f>VLOOKUP(E308,codex!A$1:B$359,2,0)</f>
        <v>1</v>
      </c>
    </row>
    <row r="309" spans="1:9" x14ac:dyDescent="0.25">
      <c r="A309" t="s">
        <v>11</v>
      </c>
      <c r="B309" t="s">
        <v>7</v>
      </c>
      <c r="C309" t="s">
        <v>811</v>
      </c>
      <c r="D309" t="s">
        <v>812</v>
      </c>
      <c r="E309" t="str">
        <f t="shared" si="4"/>
        <v>net.bytebuddy.build.CachedReturnPlugin.AdviceResolver</v>
      </c>
      <c r="F309" t="s">
        <v>813</v>
      </c>
      <c r="G309" s="3">
        <v>451</v>
      </c>
      <c r="H309" s="3">
        <v>0</v>
      </c>
      <c r="I309" s="3">
        <f>VLOOKUP(E309,codex!A$1:B$359,2,0)</f>
        <v>0</v>
      </c>
    </row>
    <row r="310" spans="1:9" x14ac:dyDescent="0.25">
      <c r="A310" t="s">
        <v>85</v>
      </c>
      <c r="B310" t="s">
        <v>7</v>
      </c>
      <c r="C310" t="s">
        <v>267</v>
      </c>
      <c r="D310" t="s">
        <v>814</v>
      </c>
      <c r="E310" t="str">
        <f t="shared" si="4"/>
        <v>com.google.gson.Gson</v>
      </c>
      <c r="F310" t="s">
        <v>815</v>
      </c>
      <c r="G310" s="3">
        <v>588</v>
      </c>
      <c r="H310" s="3">
        <v>1</v>
      </c>
      <c r="I310" s="3">
        <f>VLOOKUP(E310,codex!A$1:B$359,2,0)</f>
        <v>1</v>
      </c>
    </row>
    <row r="311" spans="1:9" x14ac:dyDescent="0.25">
      <c r="A311" t="s">
        <v>11</v>
      </c>
      <c r="B311" t="s">
        <v>7</v>
      </c>
      <c r="C311" t="s">
        <v>816</v>
      </c>
      <c r="D311" t="s">
        <v>817</v>
      </c>
      <c r="E311" t="str">
        <f t="shared" si="4"/>
        <v>net.bytebuddy.build.gradle.android.ByteBuddyAndroidPlugin</v>
      </c>
      <c r="F311" t="s">
        <v>818</v>
      </c>
      <c r="G311" s="3">
        <v>520</v>
      </c>
      <c r="H311" s="3">
        <v>0</v>
      </c>
      <c r="I311" s="3">
        <f>VLOOKUP(E311,codex!A$1:B$359,2,0)</f>
        <v>1</v>
      </c>
    </row>
    <row r="312" spans="1:9" x14ac:dyDescent="0.25">
      <c r="A312" t="s">
        <v>31</v>
      </c>
      <c r="B312" t="s">
        <v>7</v>
      </c>
      <c r="C312" t="s">
        <v>819</v>
      </c>
      <c r="D312" t="s">
        <v>820</v>
      </c>
      <c r="E312" t="str">
        <f t="shared" si="4"/>
        <v>com.google.zxing.aztec.encoder.SimpleToken</v>
      </c>
      <c r="F312" t="s">
        <v>821</v>
      </c>
      <c r="G312" s="3">
        <v>347</v>
      </c>
      <c r="H312" s="3">
        <v>0</v>
      </c>
      <c r="I312" s="3">
        <f>VLOOKUP(E312,codex!A$1:B$359,2,0)</f>
        <v>0</v>
      </c>
    </row>
    <row r="313" spans="1:9" x14ac:dyDescent="0.25">
      <c r="A313" t="s">
        <v>11</v>
      </c>
      <c r="B313" t="s">
        <v>7</v>
      </c>
      <c r="C313" t="s">
        <v>816</v>
      </c>
      <c r="D313" t="s">
        <v>822</v>
      </c>
      <c r="E313" t="str">
        <f t="shared" si="4"/>
        <v>net.bytebuddy.build.gradle.android.ByteBuddyAndroidTaskExtension</v>
      </c>
      <c r="F313" t="s">
        <v>823</v>
      </c>
      <c r="G313" s="3">
        <v>386</v>
      </c>
      <c r="H313" s="3">
        <v>1</v>
      </c>
      <c r="I313" s="3">
        <f>VLOOKUP(E313,codex!A$1:B$359,2,0)</f>
        <v>0</v>
      </c>
    </row>
    <row r="314" spans="1:9" x14ac:dyDescent="0.25">
      <c r="A314" t="s">
        <v>24</v>
      </c>
      <c r="B314" t="s">
        <v>7</v>
      </c>
      <c r="C314" t="s">
        <v>824</v>
      </c>
      <c r="D314" t="s">
        <v>825</v>
      </c>
      <c r="E314" t="str">
        <f t="shared" si="4"/>
        <v>org.apache.commons.io.filefilter.SymbolicLinkFileFilter</v>
      </c>
      <c r="F314" t="s">
        <v>826</v>
      </c>
      <c r="G314" s="3">
        <v>334</v>
      </c>
      <c r="H314" s="3">
        <v>0</v>
      </c>
      <c r="I314" s="3">
        <f>VLOOKUP(E314,codex!A$1:B$359,2,0)</f>
        <v>0</v>
      </c>
    </row>
    <row r="315" spans="1:9" x14ac:dyDescent="0.25">
      <c r="A315" t="s">
        <v>24</v>
      </c>
      <c r="B315" t="s">
        <v>7</v>
      </c>
      <c r="C315" t="s">
        <v>827</v>
      </c>
      <c r="D315" t="s">
        <v>828</v>
      </c>
      <c r="E315" t="str">
        <f t="shared" si="4"/>
        <v>org.apache.commons.io.file.SimplePathVisitor.AbstractBuilder</v>
      </c>
      <c r="F315" t="s">
        <v>829</v>
      </c>
      <c r="G315" s="3">
        <v>338</v>
      </c>
      <c r="H315" s="3">
        <v>0</v>
      </c>
      <c r="I315" s="3">
        <f>VLOOKUP(E315,codex!A$1:B$359,2,0)</f>
        <v>0</v>
      </c>
    </row>
    <row r="316" spans="1:9" x14ac:dyDescent="0.25">
      <c r="A316" t="s">
        <v>11</v>
      </c>
      <c r="B316" t="s">
        <v>7</v>
      </c>
      <c r="C316" t="s">
        <v>129</v>
      </c>
      <c r="D316" t="s">
        <v>830</v>
      </c>
      <c r="E316" t="str">
        <f t="shared" si="4"/>
        <v>net.bytebuddy.asm.MemberSubstitution.Step</v>
      </c>
      <c r="F316" t="s">
        <v>831</v>
      </c>
      <c r="G316" s="3">
        <v>541</v>
      </c>
      <c r="H316" s="3">
        <v>0</v>
      </c>
      <c r="I316" s="3">
        <f>VLOOKUP(E316,codex!A$1:B$359,2,0)</f>
        <v>1</v>
      </c>
    </row>
    <row r="317" spans="1:9" x14ac:dyDescent="0.25">
      <c r="A317" t="s">
        <v>11</v>
      </c>
      <c r="B317" t="s">
        <v>7</v>
      </c>
      <c r="C317" t="s">
        <v>832</v>
      </c>
      <c r="D317" t="s">
        <v>833</v>
      </c>
      <c r="E317" t="str">
        <f t="shared" si="4"/>
        <v>net.bytebuddy.dynamic.scaffold.FieldRegistry.Compiled</v>
      </c>
      <c r="F317" t="s">
        <v>834</v>
      </c>
      <c r="G317" s="3">
        <v>402</v>
      </c>
      <c r="H317" s="3">
        <v>0</v>
      </c>
      <c r="I317" s="3">
        <f>VLOOKUP(E317,codex!A$1:B$359,2,0)</f>
        <v>0</v>
      </c>
    </row>
    <row r="318" spans="1:9" x14ac:dyDescent="0.25">
      <c r="A318" t="s">
        <v>24</v>
      </c>
      <c r="B318" t="s">
        <v>7</v>
      </c>
      <c r="C318" t="s">
        <v>835</v>
      </c>
      <c r="D318" t="s">
        <v>836</v>
      </c>
      <c r="E318" t="str">
        <f t="shared" si="4"/>
        <v>org.apache.commons.io.file.Counters.BigIntegerCounter</v>
      </c>
      <c r="F318" t="s">
        <v>837</v>
      </c>
      <c r="G318" s="3">
        <v>327</v>
      </c>
      <c r="H318" s="3">
        <v>0</v>
      </c>
      <c r="I318" s="3">
        <f>VLOOKUP(E318,codex!A$1:B$359,2,0)</f>
        <v>0</v>
      </c>
    </row>
    <row r="319" spans="1:9" x14ac:dyDescent="0.25">
      <c r="A319" t="s">
        <v>11</v>
      </c>
      <c r="B319" t="s">
        <v>7</v>
      </c>
      <c r="C319" t="s">
        <v>838</v>
      </c>
      <c r="D319" t="s">
        <v>839</v>
      </c>
      <c r="E319" t="str">
        <f t="shared" si="4"/>
        <v>net.bytebuddy.description.ByteCodeElement.TokenList</v>
      </c>
      <c r="F319" t="s">
        <v>840</v>
      </c>
      <c r="G319" s="3">
        <v>351</v>
      </c>
      <c r="H319" s="3">
        <v>0</v>
      </c>
      <c r="I319" s="3">
        <f>VLOOKUP(E319,codex!A$1:B$359,2,0)</f>
        <v>0</v>
      </c>
    </row>
    <row r="320" spans="1:9" x14ac:dyDescent="0.25">
      <c r="A320" t="s">
        <v>11</v>
      </c>
      <c r="B320" t="s">
        <v>7</v>
      </c>
      <c r="C320" t="s">
        <v>200</v>
      </c>
      <c r="D320" t="s">
        <v>841</v>
      </c>
      <c r="E320" t="str">
        <f t="shared" si="4"/>
        <v>net.bytebuddy.build.Plugin.WithPreprocessor</v>
      </c>
      <c r="F320" t="s">
        <v>842</v>
      </c>
      <c r="G320" s="3">
        <v>331</v>
      </c>
      <c r="H320" s="3">
        <v>0</v>
      </c>
      <c r="I320" s="3">
        <f>VLOOKUP(E320,codex!A$1:B$359,2,0)</f>
        <v>0</v>
      </c>
    </row>
    <row r="321" spans="1:9" x14ac:dyDescent="0.25">
      <c r="A321" t="s">
        <v>31</v>
      </c>
      <c r="B321" t="s">
        <v>7</v>
      </c>
      <c r="C321" t="s">
        <v>480</v>
      </c>
      <c r="D321" t="s">
        <v>843</v>
      </c>
      <c r="E321" t="str">
        <f t="shared" si="4"/>
        <v>com.google.zxing.client.j2se.EncoderConfig</v>
      </c>
      <c r="F321" t="s">
        <v>844</v>
      </c>
      <c r="G321" s="3">
        <v>337</v>
      </c>
      <c r="H321" s="3">
        <v>0</v>
      </c>
      <c r="I321" s="3">
        <f>VLOOKUP(E321,codex!A$1:B$359,2,0)</f>
        <v>0</v>
      </c>
    </row>
    <row r="322" spans="1:9" x14ac:dyDescent="0.25">
      <c r="A322" t="s">
        <v>75</v>
      </c>
      <c r="B322" t="s">
        <v>7</v>
      </c>
      <c r="C322" t="s">
        <v>492</v>
      </c>
      <c r="D322" t="s">
        <v>845</v>
      </c>
      <c r="E322" t="str">
        <f t="shared" si="4"/>
        <v>com.google.common.jimfs.Configuration</v>
      </c>
      <c r="F322" t="s">
        <v>846</v>
      </c>
      <c r="G322" s="3">
        <v>416</v>
      </c>
      <c r="H322" s="3">
        <v>0</v>
      </c>
      <c r="I322" s="3">
        <f>VLOOKUP(E322,codex!A$1:B$359,2,0)</f>
        <v>1</v>
      </c>
    </row>
    <row r="323" spans="1:9" x14ac:dyDescent="0.25">
      <c r="A323" t="s">
        <v>11</v>
      </c>
      <c r="B323" t="s">
        <v>7</v>
      </c>
      <c r="C323" t="s">
        <v>847</v>
      </c>
      <c r="D323" t="s">
        <v>29</v>
      </c>
      <c r="E323" t="str">
        <f t="shared" ref="E323:E361" si="5">C323&amp;"."&amp;D323</f>
        <v>net.bytebuddy.implementation.bytecode.ByteCodeAppender.Compound</v>
      </c>
      <c r="F323" t="s">
        <v>848</v>
      </c>
      <c r="G323" s="3">
        <v>359</v>
      </c>
      <c r="H323" s="3">
        <v>0</v>
      </c>
      <c r="I323" s="3">
        <f>VLOOKUP(E323,codex!A$1:B$359,2,0)</f>
        <v>0</v>
      </c>
    </row>
    <row r="324" spans="1:9" x14ac:dyDescent="0.25">
      <c r="A324" t="s">
        <v>31</v>
      </c>
      <c r="B324" t="s">
        <v>7</v>
      </c>
      <c r="C324" t="s">
        <v>546</v>
      </c>
      <c r="D324" t="s">
        <v>849</v>
      </c>
      <c r="E324" t="str">
        <f t="shared" si="5"/>
        <v>com.google.zxing.client.android.history.HistoryActivity</v>
      </c>
      <c r="F324" t="s">
        <v>850</v>
      </c>
      <c r="G324" s="3">
        <v>359</v>
      </c>
      <c r="H324" s="3">
        <v>0</v>
      </c>
      <c r="I324" s="3">
        <f>VLOOKUP(E324,codex!A$1:B$359,2,0)</f>
        <v>0</v>
      </c>
    </row>
    <row r="325" spans="1:9" x14ac:dyDescent="0.25">
      <c r="A325" t="s">
        <v>41</v>
      </c>
      <c r="B325" t="s">
        <v>7</v>
      </c>
      <c r="C325" t="s">
        <v>851</v>
      </c>
      <c r="D325" t="s">
        <v>586</v>
      </c>
      <c r="E325" t="str">
        <f t="shared" si="5"/>
        <v>(default package).MegamorphicBypass.Quarter</v>
      </c>
      <c r="F325" t="s">
        <v>852</v>
      </c>
      <c r="G325" s="3">
        <v>326</v>
      </c>
      <c r="H325" s="3">
        <v>0</v>
      </c>
      <c r="I325" s="3">
        <f>VLOOKUP(E325,codex!A$1:B$359,2,0)</f>
        <v>0</v>
      </c>
    </row>
    <row r="326" spans="1:9" x14ac:dyDescent="0.25">
      <c r="A326" t="s">
        <v>11</v>
      </c>
      <c r="B326" t="s">
        <v>7</v>
      </c>
      <c r="C326" t="s">
        <v>562</v>
      </c>
      <c r="D326" t="s">
        <v>853</v>
      </c>
      <c r="E326" t="str">
        <f t="shared" si="5"/>
        <v>net.bytebuddy.implementation.attribute.MethodAttributeAppender.Explicit</v>
      </c>
      <c r="F326" t="s">
        <v>854</v>
      </c>
      <c r="G326" s="3">
        <v>369</v>
      </c>
      <c r="H326" s="3">
        <v>0</v>
      </c>
      <c r="I326" s="3">
        <f>VLOOKUP(E326,codex!A$1:B$359,2,0)</f>
        <v>0</v>
      </c>
    </row>
    <row r="327" spans="1:9" x14ac:dyDescent="0.25">
      <c r="A327" t="s">
        <v>11</v>
      </c>
      <c r="B327" t="s">
        <v>7</v>
      </c>
      <c r="C327" t="s">
        <v>832</v>
      </c>
      <c r="D327" t="s">
        <v>218</v>
      </c>
      <c r="E327" t="str">
        <f t="shared" si="5"/>
        <v>net.bytebuddy.dynamic.scaffold.FieldRegistry.Default</v>
      </c>
      <c r="F327" t="s">
        <v>855</v>
      </c>
      <c r="G327" s="3">
        <v>400</v>
      </c>
      <c r="H327" s="3">
        <v>0</v>
      </c>
      <c r="I327" s="3">
        <f>VLOOKUP(E327,codex!A$1:B$359,2,0)</f>
        <v>0</v>
      </c>
    </row>
    <row r="328" spans="1:9" x14ac:dyDescent="0.25">
      <c r="A328" t="s">
        <v>11</v>
      </c>
      <c r="B328" t="s">
        <v>7</v>
      </c>
      <c r="C328" t="s">
        <v>328</v>
      </c>
      <c r="D328" t="s">
        <v>856</v>
      </c>
      <c r="E328" t="str">
        <f t="shared" si="5"/>
        <v>net.bytebuddy.description.type.TypeDescription.OfMethodParameter</v>
      </c>
      <c r="F328" t="s">
        <v>857</v>
      </c>
      <c r="G328" s="3">
        <v>353</v>
      </c>
      <c r="H328" s="3">
        <v>0</v>
      </c>
      <c r="I328" s="3">
        <f>VLOOKUP(E328,codex!A$1:B$359,2,0)</f>
        <v>0</v>
      </c>
    </row>
    <row r="329" spans="1:9" x14ac:dyDescent="0.25">
      <c r="A329" t="s">
        <v>24</v>
      </c>
      <c r="B329" t="s">
        <v>7</v>
      </c>
      <c r="C329" t="s">
        <v>51</v>
      </c>
      <c r="D329" t="s">
        <v>858</v>
      </c>
      <c r="E329" t="str">
        <f t="shared" si="5"/>
        <v>org.apache.commons.io.input.BoundedReader</v>
      </c>
      <c r="F329" t="s">
        <v>859</v>
      </c>
      <c r="G329" s="3">
        <v>328</v>
      </c>
      <c r="H329" s="3">
        <v>0</v>
      </c>
      <c r="I329" s="3">
        <f>VLOOKUP(E329,codex!A$1:B$359,2,0)</f>
        <v>0</v>
      </c>
    </row>
    <row r="330" spans="1:9" x14ac:dyDescent="0.25">
      <c r="A330" t="s">
        <v>11</v>
      </c>
      <c r="B330" t="s">
        <v>7</v>
      </c>
      <c r="C330" t="s">
        <v>152</v>
      </c>
      <c r="D330" t="s">
        <v>860</v>
      </c>
      <c r="E330" t="str">
        <f t="shared" si="5"/>
        <v>net.bytebuddy.implementation.InvokeDynamic.ForClassConstant</v>
      </c>
      <c r="F330" t="s">
        <v>861</v>
      </c>
      <c r="G330" s="3">
        <v>365</v>
      </c>
      <c r="H330" s="3">
        <v>0</v>
      </c>
      <c r="I330" s="3">
        <f>VLOOKUP(E330,codex!A$1:B$359,2,0)</f>
        <v>0</v>
      </c>
    </row>
    <row r="331" spans="1:9" x14ac:dyDescent="0.25">
      <c r="A331" t="s">
        <v>11</v>
      </c>
      <c r="B331" t="s">
        <v>7</v>
      </c>
      <c r="C331" t="s">
        <v>862</v>
      </c>
      <c r="D331" t="s">
        <v>112</v>
      </c>
      <c r="E331" t="str">
        <f t="shared" si="5"/>
        <v>net.bytebuddy.benchmark.jmh.generated.ClassByExtensionBenchmark.benchmarkByteBuddyWithProxyAndReusedDelegatorWithTypePool.jmhTest</v>
      </c>
      <c r="F331" t="s">
        <v>863</v>
      </c>
      <c r="G331" s="3">
        <v>4717</v>
      </c>
      <c r="H331" s="3">
        <v>0</v>
      </c>
      <c r="I331" s="3">
        <f>VLOOKUP(E331,codex!A$1:B$359,2,0)</f>
        <v>0</v>
      </c>
    </row>
    <row r="332" spans="1:9" x14ac:dyDescent="0.25">
      <c r="A332" t="s">
        <v>31</v>
      </c>
      <c r="B332" t="s">
        <v>7</v>
      </c>
      <c r="C332" t="s">
        <v>288</v>
      </c>
      <c r="D332" t="s">
        <v>864</v>
      </c>
      <c r="E332" t="str">
        <f t="shared" si="5"/>
        <v>com.google.zxing.pdf417.decoder.BarcodeMetadata</v>
      </c>
      <c r="F332" t="s">
        <v>865</v>
      </c>
      <c r="G332" s="3">
        <v>329</v>
      </c>
      <c r="H332" s="3">
        <v>0</v>
      </c>
      <c r="I332" s="3">
        <f>VLOOKUP(E332,codex!A$1:B$359,2,0)</f>
        <v>0</v>
      </c>
    </row>
    <row r="333" spans="1:9" x14ac:dyDescent="0.25">
      <c r="A333" t="s">
        <v>24</v>
      </c>
      <c r="B333" t="s">
        <v>7</v>
      </c>
      <c r="C333" t="s">
        <v>51</v>
      </c>
      <c r="D333" t="s">
        <v>866</v>
      </c>
      <c r="E333" t="str">
        <f t="shared" si="5"/>
        <v>org.apache.commons.io.input.NullReader</v>
      </c>
      <c r="F333" t="s">
        <v>867</v>
      </c>
      <c r="G333" s="3">
        <v>334</v>
      </c>
      <c r="H333" s="3">
        <v>0</v>
      </c>
      <c r="I333" s="3">
        <f>VLOOKUP(E333,codex!A$1:B$359,2,0)</f>
        <v>0</v>
      </c>
    </row>
    <row r="334" spans="1:9" x14ac:dyDescent="0.25">
      <c r="A334" t="s">
        <v>41</v>
      </c>
      <c r="B334" t="s">
        <v>7</v>
      </c>
      <c r="C334" t="s">
        <v>868</v>
      </c>
      <c r="D334" t="s">
        <v>869</v>
      </c>
      <c r="E334" t="str">
        <f t="shared" si="5"/>
        <v>org.adoptopenjdk.jitwatch.model.PackageManager</v>
      </c>
      <c r="F334" t="s">
        <v>870</v>
      </c>
      <c r="G334" s="3">
        <v>357</v>
      </c>
      <c r="H334" s="3">
        <v>0</v>
      </c>
      <c r="I334" s="3">
        <f>VLOOKUP(E334,codex!A$1:B$359,2,0)</f>
        <v>0</v>
      </c>
    </row>
    <row r="335" spans="1:9" x14ac:dyDescent="0.25">
      <c r="A335" t="s">
        <v>85</v>
      </c>
      <c r="B335" t="s">
        <v>7</v>
      </c>
      <c r="C335" t="s">
        <v>267</v>
      </c>
      <c r="D335" t="s">
        <v>871</v>
      </c>
      <c r="E335" t="str">
        <f t="shared" si="5"/>
        <v>com.google.gson.JsonElement</v>
      </c>
      <c r="F335" t="s">
        <v>872</v>
      </c>
      <c r="G335" s="3">
        <v>371</v>
      </c>
      <c r="H335" s="3">
        <v>1</v>
      </c>
      <c r="I335" s="3">
        <f>VLOOKUP(E335,codex!A$1:B$359,2,0)</f>
        <v>0</v>
      </c>
    </row>
    <row r="336" spans="1:9" x14ac:dyDescent="0.25">
      <c r="A336" t="s">
        <v>11</v>
      </c>
      <c r="B336" t="s">
        <v>7</v>
      </c>
      <c r="C336" t="s">
        <v>873</v>
      </c>
      <c r="D336" t="s">
        <v>874</v>
      </c>
      <c r="E336" t="str">
        <f t="shared" si="5"/>
        <v>net.bytebuddy.dynamic.loading.ModuleLayerFromSingleClassLoaderDecorator.ModuleDescriptor</v>
      </c>
      <c r="F336" t="s">
        <v>875</v>
      </c>
      <c r="G336" s="3">
        <v>353</v>
      </c>
      <c r="H336" s="3">
        <v>0</v>
      </c>
      <c r="I336" s="3">
        <f>VLOOKUP(E336,codex!A$1:B$359,2,0)</f>
        <v>0</v>
      </c>
    </row>
    <row r="337" spans="1:9" x14ac:dyDescent="0.25">
      <c r="A337" t="s">
        <v>11</v>
      </c>
      <c r="B337" t="s">
        <v>7</v>
      </c>
      <c r="C337" t="s">
        <v>178</v>
      </c>
      <c r="D337" t="s">
        <v>876</v>
      </c>
      <c r="E337" t="str">
        <f t="shared" si="5"/>
        <v>net.bytebuddy.description.annotation.AnnotationValue.Loaded</v>
      </c>
      <c r="F337" t="s">
        <v>877</v>
      </c>
      <c r="G337" s="3">
        <v>362</v>
      </c>
      <c r="H337" s="3">
        <v>0</v>
      </c>
      <c r="I337" s="3">
        <f>VLOOKUP(E337,codex!A$1:B$359,2,0)</f>
        <v>0</v>
      </c>
    </row>
    <row r="338" spans="1:9" x14ac:dyDescent="0.25">
      <c r="A338" t="s">
        <v>89</v>
      </c>
      <c r="B338" t="s">
        <v>7</v>
      </c>
      <c r="C338" t="s">
        <v>878</v>
      </c>
      <c r="D338" t="s">
        <v>879</v>
      </c>
      <c r="E338" t="str">
        <f t="shared" si="5"/>
        <v>org.apache.commons.lang3.time.FastDatePrinter.PaddedNumberField</v>
      </c>
      <c r="F338" t="s">
        <v>880</v>
      </c>
      <c r="G338" s="3">
        <v>333</v>
      </c>
      <c r="H338" s="3">
        <v>0</v>
      </c>
      <c r="I338" s="3">
        <f>VLOOKUP(E338,codex!A$1:B$359,2,0)</f>
        <v>0</v>
      </c>
    </row>
    <row r="339" spans="1:9" x14ac:dyDescent="0.25">
      <c r="A339" t="s">
        <v>89</v>
      </c>
      <c r="B339" t="s">
        <v>7</v>
      </c>
      <c r="C339" t="s">
        <v>451</v>
      </c>
      <c r="D339" t="s">
        <v>881</v>
      </c>
      <c r="E339" t="str">
        <f t="shared" si="5"/>
        <v>org.apache.commons.lang3.time.FastDateParser.PatternStrategy</v>
      </c>
      <c r="F339" t="s">
        <v>882</v>
      </c>
      <c r="G339" s="3">
        <v>331</v>
      </c>
      <c r="H339" s="3">
        <v>0</v>
      </c>
      <c r="I339" s="3">
        <f>VLOOKUP(E339,codex!A$1:B$359,2,0)</f>
        <v>0</v>
      </c>
    </row>
    <row r="340" spans="1:9" x14ac:dyDescent="0.25">
      <c r="A340" t="s">
        <v>11</v>
      </c>
      <c r="B340" t="s">
        <v>7</v>
      </c>
      <c r="C340" t="s">
        <v>883</v>
      </c>
      <c r="D340" t="s">
        <v>884</v>
      </c>
      <c r="E340" t="str">
        <f t="shared" si="5"/>
        <v>net.bytebuddy.implementation.bytecode.collection.CollectionFactory</v>
      </c>
      <c r="F340" t="s">
        <v>885</v>
      </c>
      <c r="G340" s="3">
        <v>359</v>
      </c>
      <c r="H340" s="3">
        <v>0</v>
      </c>
      <c r="I340" s="3">
        <f>VLOOKUP(E340,codex!A$1:B$359,2,0)</f>
        <v>0</v>
      </c>
    </row>
    <row r="341" spans="1:9" x14ac:dyDescent="0.25">
      <c r="A341" t="s">
        <v>24</v>
      </c>
      <c r="B341" t="s">
        <v>7</v>
      </c>
      <c r="C341" t="s">
        <v>886</v>
      </c>
      <c r="D341" t="s">
        <v>887</v>
      </c>
      <c r="E341" t="str">
        <f t="shared" si="5"/>
        <v>org.apache.commons.io.function.IOSupplier</v>
      </c>
      <c r="F341" t="s">
        <v>888</v>
      </c>
      <c r="G341" s="3">
        <v>333</v>
      </c>
      <c r="H341" s="3">
        <v>0</v>
      </c>
      <c r="I341" s="3">
        <f>VLOOKUP(E341,codex!A$1:B$359,2,0)</f>
        <v>0</v>
      </c>
    </row>
    <row r="342" spans="1:9" x14ac:dyDescent="0.25">
      <c r="A342" t="s">
        <v>41</v>
      </c>
      <c r="B342" t="s">
        <v>7</v>
      </c>
      <c r="C342" t="s">
        <v>889</v>
      </c>
      <c r="D342" t="s">
        <v>890</v>
      </c>
      <c r="E342" t="str">
        <f t="shared" si="5"/>
        <v>org.adoptopenjdk.jitwatch.demo.MakeHotSpotLog</v>
      </c>
      <c r="F342" t="s">
        <v>891</v>
      </c>
      <c r="G342" s="3">
        <v>342</v>
      </c>
      <c r="H342" s="3">
        <v>1</v>
      </c>
      <c r="I342" s="3">
        <f>VLOOKUP(E342,codex!A$1:B$359,2,0)</f>
        <v>1</v>
      </c>
    </row>
    <row r="343" spans="1:9" x14ac:dyDescent="0.25">
      <c r="A343" t="s">
        <v>24</v>
      </c>
      <c r="B343" t="s">
        <v>7</v>
      </c>
      <c r="C343" t="s">
        <v>886</v>
      </c>
      <c r="D343" t="s">
        <v>892</v>
      </c>
      <c r="E343" t="str">
        <f t="shared" si="5"/>
        <v>org.apache.commons.io.function.IORunnable</v>
      </c>
      <c r="F343" t="s">
        <v>893</v>
      </c>
      <c r="G343" s="3">
        <v>341</v>
      </c>
      <c r="H343" s="3">
        <v>0</v>
      </c>
      <c r="I343" s="3">
        <f>VLOOKUP(E343,codex!A$1:B$359,2,0)</f>
        <v>0</v>
      </c>
    </row>
    <row r="344" spans="1:9" x14ac:dyDescent="0.25">
      <c r="A344" t="s">
        <v>6</v>
      </c>
      <c r="B344" t="s">
        <v>7</v>
      </c>
      <c r="C344" t="s">
        <v>172</v>
      </c>
      <c r="D344" t="s">
        <v>894</v>
      </c>
      <c r="E344" t="str">
        <f t="shared" si="5"/>
        <v>com.github.javaparser.ast.body.AnnotationMemberDeclaration</v>
      </c>
      <c r="F344" t="s">
        <v>895</v>
      </c>
      <c r="G344" s="3">
        <v>497</v>
      </c>
      <c r="H344" s="3">
        <v>1</v>
      </c>
      <c r="I344" s="3">
        <f>VLOOKUP(E344,codex!A$1:B$359,2,0)</f>
        <v>0</v>
      </c>
    </row>
    <row r="345" spans="1:9" x14ac:dyDescent="0.25">
      <c r="A345" t="s">
        <v>6</v>
      </c>
      <c r="B345" t="s">
        <v>7</v>
      </c>
      <c r="C345" t="s">
        <v>233</v>
      </c>
      <c r="D345" t="s">
        <v>896</v>
      </c>
      <c r="E345" t="str">
        <f t="shared" si="5"/>
        <v>com.github.javaparser.metamodel.BaseNodeMetaModel</v>
      </c>
      <c r="F345" t="s">
        <v>897</v>
      </c>
      <c r="G345" s="3">
        <v>368</v>
      </c>
      <c r="H345" s="3">
        <v>1</v>
      </c>
      <c r="I345" s="3">
        <f>VLOOKUP(E345,codex!A$1:B$359,2,0)</f>
        <v>1</v>
      </c>
    </row>
    <row r="346" spans="1:9" x14ac:dyDescent="0.25">
      <c r="A346" t="s">
        <v>11</v>
      </c>
      <c r="B346" t="s">
        <v>7</v>
      </c>
      <c r="C346" t="s">
        <v>48</v>
      </c>
      <c r="D346" t="s">
        <v>898</v>
      </c>
      <c r="E346" t="str">
        <f t="shared" si="5"/>
        <v>net.bytebuddy.implementation.MethodCall.OfInvokedMethod</v>
      </c>
      <c r="F346" t="s">
        <v>899</v>
      </c>
      <c r="G346" s="3">
        <v>354</v>
      </c>
      <c r="H346" s="3">
        <v>0</v>
      </c>
      <c r="I346" s="3">
        <f>VLOOKUP(E346,codex!A$1:B$359,2,0)</f>
        <v>0</v>
      </c>
    </row>
    <row r="347" spans="1:9" x14ac:dyDescent="0.25">
      <c r="A347" t="s">
        <v>31</v>
      </c>
      <c r="B347" t="s">
        <v>7</v>
      </c>
      <c r="C347" t="s">
        <v>93</v>
      </c>
      <c r="D347" t="s">
        <v>900</v>
      </c>
      <c r="E347" t="str">
        <f t="shared" si="5"/>
        <v>com.google.zxing.client.android.PreferencesActivity</v>
      </c>
      <c r="F347" t="s">
        <v>901</v>
      </c>
      <c r="G347" s="3">
        <v>324</v>
      </c>
      <c r="H347" s="3">
        <v>0</v>
      </c>
      <c r="I347" s="3">
        <f>VLOOKUP(E347,codex!A$1:B$359,2,0)</f>
        <v>0</v>
      </c>
    </row>
    <row r="348" spans="1:9" x14ac:dyDescent="0.25">
      <c r="A348" t="s">
        <v>11</v>
      </c>
      <c r="B348" t="s">
        <v>7</v>
      </c>
      <c r="C348" t="s">
        <v>902</v>
      </c>
      <c r="D348" t="s">
        <v>903</v>
      </c>
      <c r="E348" t="str">
        <f t="shared" si="5"/>
        <v>net.bytebuddy.matcher.CachingMatcher.WithInlineEviction</v>
      </c>
      <c r="F348" t="s">
        <v>904</v>
      </c>
      <c r="G348" s="3">
        <v>335</v>
      </c>
      <c r="H348" s="3">
        <v>0</v>
      </c>
      <c r="I348" s="3">
        <f>VLOOKUP(E348,codex!A$1:B$359,2,0)</f>
        <v>0</v>
      </c>
    </row>
    <row r="349" spans="1:9" x14ac:dyDescent="0.25">
      <c r="A349" t="s">
        <v>75</v>
      </c>
      <c r="B349" t="s">
        <v>7</v>
      </c>
      <c r="C349" t="s">
        <v>492</v>
      </c>
      <c r="D349" t="s">
        <v>905</v>
      </c>
      <c r="E349" t="str">
        <f t="shared" si="5"/>
        <v>com.google.common.jimfs.UserLookupService</v>
      </c>
      <c r="F349" t="s">
        <v>906</v>
      </c>
      <c r="G349" s="3">
        <v>330</v>
      </c>
      <c r="H349" s="3">
        <v>0</v>
      </c>
      <c r="I349" s="3">
        <f>VLOOKUP(E349,codex!A$1:B$359,2,0)</f>
        <v>0</v>
      </c>
    </row>
    <row r="350" spans="1:9" x14ac:dyDescent="0.25">
      <c r="A350" t="s">
        <v>6</v>
      </c>
      <c r="B350" t="s">
        <v>7</v>
      </c>
      <c r="C350" t="s">
        <v>316</v>
      </c>
      <c r="D350" t="s">
        <v>907</v>
      </c>
      <c r="E350" t="str">
        <f t="shared" si="5"/>
        <v>com.github.javaparser.ast.visitor.VoidVisitorAdapter</v>
      </c>
      <c r="F350" t="s">
        <v>908</v>
      </c>
      <c r="G350" s="3">
        <v>1611</v>
      </c>
      <c r="H350" s="3">
        <v>1</v>
      </c>
      <c r="I350" s="3">
        <f>VLOOKUP(E350,codex!A$1:B$359,2,0)</f>
        <v>1</v>
      </c>
    </row>
    <row r="351" spans="1:9" x14ac:dyDescent="0.25">
      <c r="A351" t="s">
        <v>11</v>
      </c>
      <c r="B351" t="s">
        <v>7</v>
      </c>
      <c r="C351" t="s">
        <v>129</v>
      </c>
      <c r="D351" t="s">
        <v>909</v>
      </c>
      <c r="E351" t="str">
        <f t="shared" si="5"/>
        <v>net.bytebuddy.asm.MemberSubstitution.Resolved</v>
      </c>
      <c r="F351" t="s">
        <v>910</v>
      </c>
      <c r="G351" s="3">
        <v>450</v>
      </c>
      <c r="H351" s="3">
        <v>0</v>
      </c>
      <c r="I351" s="3">
        <f>VLOOKUP(E351,codex!A$1:B$359,2,0)</f>
        <v>0</v>
      </c>
    </row>
    <row r="352" spans="1:9" x14ac:dyDescent="0.25">
      <c r="A352" t="s">
        <v>11</v>
      </c>
      <c r="B352" t="s">
        <v>7</v>
      </c>
      <c r="C352" t="s">
        <v>911</v>
      </c>
      <c r="D352" t="s">
        <v>912</v>
      </c>
      <c r="E352" t="str">
        <f t="shared" si="5"/>
        <v>net.bytebuddy.build.gradle.ObjectFactory.ForApi4CapableGradle</v>
      </c>
      <c r="F352" t="s">
        <v>913</v>
      </c>
      <c r="G352" s="3">
        <v>341</v>
      </c>
      <c r="H352" s="3">
        <v>0</v>
      </c>
      <c r="I352" s="3">
        <f>VLOOKUP(E352,codex!A$1:B$359,2,0)</f>
        <v>0</v>
      </c>
    </row>
    <row r="353" spans="1:9" x14ac:dyDescent="0.25">
      <c r="A353" t="s">
        <v>89</v>
      </c>
      <c r="B353" t="s">
        <v>7</v>
      </c>
      <c r="C353" t="s">
        <v>878</v>
      </c>
      <c r="D353" t="s">
        <v>914</v>
      </c>
      <c r="E353" t="str">
        <f t="shared" si="5"/>
        <v>org.apache.commons.lang3.time.FastDatePrinter.TwoDigitYearField</v>
      </c>
      <c r="F353" t="s">
        <v>915</v>
      </c>
      <c r="G353" s="3">
        <v>334</v>
      </c>
      <c r="H353" s="3">
        <v>0</v>
      </c>
      <c r="I353" s="3">
        <f>VLOOKUP(E353,codex!A$1:B$359,2,0)</f>
        <v>0</v>
      </c>
    </row>
    <row r="354" spans="1:9" x14ac:dyDescent="0.25">
      <c r="A354" t="s">
        <v>11</v>
      </c>
      <c r="B354" t="s">
        <v>7</v>
      </c>
      <c r="C354" t="s">
        <v>916</v>
      </c>
      <c r="D354" t="s">
        <v>112</v>
      </c>
      <c r="E354" t="str">
        <f t="shared" si="5"/>
        <v>net.bytebuddy.benchmark.jmh.generated.ClassByImplementationBenchmark.baseline.jmhTest</v>
      </c>
      <c r="F354" t="s">
        <v>917</v>
      </c>
      <c r="G354" s="3">
        <v>4381</v>
      </c>
      <c r="H354" s="3">
        <v>0</v>
      </c>
      <c r="I354" s="3">
        <f>VLOOKUP(E354,codex!A$1:B$359,2,0)</f>
        <v>0</v>
      </c>
    </row>
    <row r="355" spans="1:9" x14ac:dyDescent="0.25">
      <c r="A355" t="s">
        <v>11</v>
      </c>
      <c r="B355" t="s">
        <v>7</v>
      </c>
      <c r="C355" t="s">
        <v>129</v>
      </c>
      <c r="D355" t="s">
        <v>918</v>
      </c>
      <c r="E355" t="str">
        <f t="shared" si="5"/>
        <v>net.bytebuddy.asm.MemberSubstitution.ForElementMatcher</v>
      </c>
      <c r="F355" t="s">
        <v>919</v>
      </c>
      <c r="G355" s="3">
        <v>371</v>
      </c>
      <c r="H355" s="3">
        <v>0</v>
      </c>
      <c r="I355" s="3">
        <f>VLOOKUP(E355,codex!A$1:B$359,2,0)</f>
        <v>0</v>
      </c>
    </row>
    <row r="356" spans="1:9" x14ac:dyDescent="0.25">
      <c r="A356" t="s">
        <v>85</v>
      </c>
      <c r="B356" t="s">
        <v>7</v>
      </c>
      <c r="C356" t="s">
        <v>920</v>
      </c>
      <c r="D356" t="s">
        <v>921</v>
      </c>
      <c r="E356" t="str">
        <f t="shared" si="5"/>
        <v>com.google.gson.internal.sql.SqlTimeTypeAdapter</v>
      </c>
      <c r="F356" t="s">
        <v>922</v>
      </c>
      <c r="G356" s="3">
        <v>381</v>
      </c>
      <c r="H356" s="3">
        <v>0</v>
      </c>
      <c r="I356" s="3">
        <f>VLOOKUP(E356,codex!A$1:B$359,2,0)</f>
        <v>0</v>
      </c>
    </row>
    <row r="357" spans="1:9" x14ac:dyDescent="0.25">
      <c r="A357" t="s">
        <v>6</v>
      </c>
      <c r="B357" t="s">
        <v>7</v>
      </c>
      <c r="C357" t="s">
        <v>233</v>
      </c>
      <c r="D357" t="s">
        <v>923</v>
      </c>
      <c r="E357" t="str">
        <f t="shared" si="5"/>
        <v>com.github.javaparser.metamodel.EmptyStmtMetaModel</v>
      </c>
      <c r="F357" t="s">
        <v>924</v>
      </c>
      <c r="G357" s="3">
        <v>338</v>
      </c>
      <c r="H357" s="3">
        <v>0</v>
      </c>
      <c r="I357" s="3">
        <f>VLOOKUP(E357,codex!A$1:B$359,2,0)</f>
        <v>0</v>
      </c>
    </row>
    <row r="358" spans="1:9" x14ac:dyDescent="0.25">
      <c r="A358" t="s">
        <v>6</v>
      </c>
      <c r="B358" t="s">
        <v>7</v>
      </c>
      <c r="C358" t="s">
        <v>925</v>
      </c>
      <c r="D358" t="s">
        <v>926</v>
      </c>
      <c r="E358" t="str">
        <f t="shared" si="5"/>
        <v>com.github.javaparser.symbolsolver.javaparsermodel.declarations.JavaParserEnumDeclaration.ValuesMethod</v>
      </c>
      <c r="F358" t="s">
        <v>927</v>
      </c>
      <c r="G358" s="3">
        <v>386</v>
      </c>
      <c r="H358" s="3">
        <v>0</v>
      </c>
      <c r="I358" s="3">
        <f>VLOOKUP(E358,codex!A$1:B$359,2,0)</f>
        <v>0</v>
      </c>
    </row>
    <row r="359" spans="1:9" x14ac:dyDescent="0.25">
      <c r="A359" t="s">
        <v>24</v>
      </c>
      <c r="B359" t="s">
        <v>7</v>
      </c>
      <c r="C359" t="s">
        <v>51</v>
      </c>
      <c r="D359" t="s">
        <v>928</v>
      </c>
      <c r="E359" t="str">
        <f t="shared" si="5"/>
        <v>org.apache.commons.io.input.ReversedLinesFileReader</v>
      </c>
      <c r="F359" t="s">
        <v>929</v>
      </c>
      <c r="G359" s="3">
        <v>387</v>
      </c>
      <c r="H359" s="3">
        <v>0</v>
      </c>
      <c r="I359" s="3">
        <f>VLOOKUP(E359,codex!A$1:B$359,2,0)</f>
        <v>1</v>
      </c>
    </row>
    <row r="360" spans="1:9" x14ac:dyDescent="0.25">
      <c r="A360" t="s">
        <v>6</v>
      </c>
      <c r="B360" t="s">
        <v>7</v>
      </c>
      <c r="C360" t="s">
        <v>806</v>
      </c>
      <c r="D360" t="s">
        <v>930</v>
      </c>
      <c r="E360" t="str">
        <f t="shared" si="5"/>
        <v>foo.OtherClass</v>
      </c>
      <c r="F360" t="s">
        <v>931</v>
      </c>
      <c r="G360" s="3">
        <v>331</v>
      </c>
      <c r="H360" s="3">
        <v>0</v>
      </c>
      <c r="I360" s="3">
        <f>VLOOKUP(E360,codex!A$1:B$359,2,0)</f>
        <v>0</v>
      </c>
    </row>
    <row r="361" spans="1:9" x14ac:dyDescent="0.25">
      <c r="A361" t="s">
        <v>11</v>
      </c>
      <c r="B361" t="s">
        <v>7</v>
      </c>
      <c r="C361" t="s">
        <v>685</v>
      </c>
      <c r="D361" t="s">
        <v>932</v>
      </c>
      <c r="E361" t="str">
        <f t="shared" si="5"/>
        <v>net.bytebuddy.implementation.FieldAccessor.PropertyConfigurable</v>
      </c>
      <c r="F361" t="s">
        <v>933</v>
      </c>
      <c r="G361" s="3">
        <v>342</v>
      </c>
      <c r="H361" s="3">
        <v>0</v>
      </c>
      <c r="I361" s="3">
        <f>VLOOKUP(E361,codex!A$1:B$359,2,0)</f>
        <v>0</v>
      </c>
    </row>
  </sheetData>
  <autoFilter ref="A1:I361" xr:uid="{DFE58A6F-C1FA-46B4-89BF-F6B54FFFB175}"/>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4C63D-ABF8-4EF7-BDF7-474B9D3EF752}">
  <dimension ref="A1:C359"/>
  <sheetViews>
    <sheetView topLeftCell="A359" workbookViewId="0">
      <selection sqref="A1:C359"/>
    </sheetView>
  </sheetViews>
  <sheetFormatPr defaultRowHeight="15" x14ac:dyDescent="0.25"/>
  <sheetData>
    <row r="1" spans="1:3" ht="409.5" x14ac:dyDescent="0.25">
      <c r="A1" t="s">
        <v>1017</v>
      </c>
      <c r="B1" s="3">
        <v>0</v>
      </c>
      <c r="C1" s="4" t="s">
        <v>1286</v>
      </c>
    </row>
    <row r="2" spans="1:3" ht="409.5" x14ac:dyDescent="0.25">
      <c r="A2" t="s">
        <v>949</v>
      </c>
      <c r="B2" s="3">
        <v>0</v>
      </c>
      <c r="C2" s="4" t="s">
        <v>1287</v>
      </c>
    </row>
    <row r="3" spans="1:3" ht="409.5" x14ac:dyDescent="0.25">
      <c r="A3" t="s">
        <v>1077</v>
      </c>
      <c r="B3" s="3">
        <v>0</v>
      </c>
      <c r="C3" s="4" t="s">
        <v>1288</v>
      </c>
    </row>
    <row r="4" spans="1:3" ht="409.5" x14ac:dyDescent="0.25">
      <c r="A4" t="s">
        <v>1139</v>
      </c>
      <c r="B4" s="3">
        <v>0</v>
      </c>
      <c r="C4" s="4" t="s">
        <v>1289</v>
      </c>
    </row>
    <row r="5" spans="1:3" ht="409.5" x14ac:dyDescent="0.25">
      <c r="A5" t="s">
        <v>1133</v>
      </c>
      <c r="B5" s="3">
        <v>0</v>
      </c>
      <c r="C5" s="4" t="s">
        <v>1290</v>
      </c>
    </row>
    <row r="6" spans="1:3" ht="409.5" x14ac:dyDescent="0.25">
      <c r="A6" t="s">
        <v>1222</v>
      </c>
      <c r="B6" s="3">
        <v>0</v>
      </c>
      <c r="C6" s="4" t="s">
        <v>1291</v>
      </c>
    </row>
    <row r="7" spans="1:3" ht="409.5" x14ac:dyDescent="0.25">
      <c r="A7" t="s">
        <v>1182</v>
      </c>
      <c r="B7" s="3">
        <v>0</v>
      </c>
      <c r="C7" s="4" t="s">
        <v>1292</v>
      </c>
    </row>
    <row r="8" spans="1:3" ht="409.5" x14ac:dyDescent="0.25">
      <c r="A8" t="s">
        <v>1049</v>
      </c>
      <c r="B8" s="3">
        <v>0</v>
      </c>
      <c r="C8" s="4" t="s">
        <v>1293</v>
      </c>
    </row>
    <row r="9" spans="1:3" ht="409.5" x14ac:dyDescent="0.25">
      <c r="A9" t="s">
        <v>760</v>
      </c>
      <c r="B9" s="3">
        <v>1</v>
      </c>
      <c r="C9" s="4" t="s">
        <v>1294</v>
      </c>
    </row>
    <row r="10" spans="1:3" ht="409.5" x14ac:dyDescent="0.25">
      <c r="A10" t="s">
        <v>1189</v>
      </c>
      <c r="B10" s="3">
        <v>0</v>
      </c>
      <c r="C10" s="4" t="s">
        <v>1295</v>
      </c>
    </row>
    <row r="11" spans="1:3" ht="409.5" x14ac:dyDescent="0.25">
      <c r="A11" t="s">
        <v>971</v>
      </c>
      <c r="B11" s="3">
        <v>0</v>
      </c>
      <c r="C11" s="4" t="s">
        <v>1296</v>
      </c>
    </row>
    <row r="12" spans="1:3" ht="409.5" x14ac:dyDescent="0.25">
      <c r="A12" t="s">
        <v>510</v>
      </c>
      <c r="B12" s="3">
        <v>1</v>
      </c>
      <c r="C12" s="4" t="s">
        <v>1297</v>
      </c>
    </row>
    <row r="13" spans="1:3" ht="409.5" x14ac:dyDescent="0.25">
      <c r="A13" t="s">
        <v>1170</v>
      </c>
      <c r="B13" s="3">
        <v>0</v>
      </c>
      <c r="C13" s="4" t="s">
        <v>1298</v>
      </c>
    </row>
    <row r="14" spans="1:3" ht="409.5" x14ac:dyDescent="0.25">
      <c r="A14" t="s">
        <v>1241</v>
      </c>
      <c r="B14" s="3">
        <v>0</v>
      </c>
      <c r="C14" s="4" t="s">
        <v>1299</v>
      </c>
    </row>
    <row r="15" spans="1:3" ht="409.5" x14ac:dyDescent="0.25">
      <c r="A15" t="s">
        <v>1155</v>
      </c>
      <c r="B15" s="3">
        <v>0</v>
      </c>
      <c r="C15" s="4" t="s">
        <v>1300</v>
      </c>
    </row>
    <row r="16" spans="1:3" ht="409.5" x14ac:dyDescent="0.25">
      <c r="A16" t="s">
        <v>1236</v>
      </c>
      <c r="B16" s="3">
        <v>0</v>
      </c>
      <c r="C16" s="4" t="s">
        <v>1301</v>
      </c>
    </row>
    <row r="17" spans="1:3" ht="409.5" x14ac:dyDescent="0.25">
      <c r="A17" t="s">
        <v>1078</v>
      </c>
      <c r="B17" s="3">
        <v>0</v>
      </c>
      <c r="C17" s="4" t="s">
        <v>1302</v>
      </c>
    </row>
    <row r="18" spans="1:3" ht="375" x14ac:dyDescent="0.25">
      <c r="A18" t="s">
        <v>1068</v>
      </c>
      <c r="B18" s="3">
        <v>0</v>
      </c>
      <c r="C18" s="4" t="s">
        <v>1303</v>
      </c>
    </row>
    <row r="19" spans="1:3" ht="409.5" x14ac:dyDescent="0.25">
      <c r="A19" t="s">
        <v>449</v>
      </c>
      <c r="B19" s="3">
        <v>0</v>
      </c>
      <c r="C19" s="4" t="s">
        <v>1304</v>
      </c>
    </row>
    <row r="20" spans="1:3" ht="409.5" x14ac:dyDescent="0.25">
      <c r="A20" t="s">
        <v>1173</v>
      </c>
      <c r="B20" s="3">
        <v>0</v>
      </c>
      <c r="C20" s="4" t="s">
        <v>1305</v>
      </c>
    </row>
    <row r="21" spans="1:3" ht="409.5" x14ac:dyDescent="0.25">
      <c r="A21" t="s">
        <v>1146</v>
      </c>
      <c r="B21" s="3">
        <v>0</v>
      </c>
      <c r="C21" s="4" t="s">
        <v>1306</v>
      </c>
    </row>
    <row r="22" spans="1:3" ht="409.5" x14ac:dyDescent="0.25">
      <c r="A22" t="s">
        <v>1030</v>
      </c>
      <c r="B22" s="3">
        <v>0</v>
      </c>
      <c r="C22" s="4" t="s">
        <v>1307</v>
      </c>
    </row>
    <row r="23" spans="1:3" ht="409.5" x14ac:dyDescent="0.25">
      <c r="A23" t="s">
        <v>1074</v>
      </c>
      <c r="B23" s="3">
        <v>1</v>
      </c>
      <c r="C23" s="4" t="s">
        <v>1308</v>
      </c>
    </row>
    <row r="24" spans="1:3" ht="409.5" x14ac:dyDescent="0.25">
      <c r="A24" t="s">
        <v>270</v>
      </c>
      <c r="B24" s="3">
        <v>0</v>
      </c>
      <c r="C24" s="4" t="s">
        <v>1309</v>
      </c>
    </row>
    <row r="25" spans="1:3" ht="409.5" x14ac:dyDescent="0.25">
      <c r="A25" t="s">
        <v>1046</v>
      </c>
      <c r="B25" s="3">
        <v>0</v>
      </c>
      <c r="C25" s="4" t="s">
        <v>1310</v>
      </c>
    </row>
    <row r="26" spans="1:3" ht="409.5" x14ac:dyDescent="0.25">
      <c r="A26" t="s">
        <v>1254</v>
      </c>
      <c r="B26" s="3">
        <v>0</v>
      </c>
      <c r="C26" s="4" t="s">
        <v>1311</v>
      </c>
    </row>
    <row r="27" spans="1:3" ht="409.5" x14ac:dyDescent="0.25">
      <c r="A27" t="s">
        <v>1052</v>
      </c>
      <c r="B27" s="3">
        <v>0</v>
      </c>
      <c r="C27" s="4" t="s">
        <v>1312</v>
      </c>
    </row>
    <row r="28" spans="1:3" ht="409.5" x14ac:dyDescent="0.25">
      <c r="A28" t="s">
        <v>1255</v>
      </c>
      <c r="B28" s="3">
        <v>0</v>
      </c>
      <c r="C28" s="4" t="s">
        <v>1313</v>
      </c>
    </row>
    <row r="29" spans="1:3" ht="409.5" x14ac:dyDescent="0.25">
      <c r="A29" t="s">
        <v>1089</v>
      </c>
      <c r="B29" s="3">
        <v>0</v>
      </c>
      <c r="C29" s="4" t="s">
        <v>1314</v>
      </c>
    </row>
    <row r="30" spans="1:3" ht="409.5" x14ac:dyDescent="0.25">
      <c r="A30" t="s">
        <v>1214</v>
      </c>
      <c r="B30" s="3">
        <v>0</v>
      </c>
      <c r="C30" s="4" t="s">
        <v>1315</v>
      </c>
    </row>
    <row r="31" spans="1:3" ht="409.5" x14ac:dyDescent="0.25">
      <c r="A31" t="s">
        <v>1129</v>
      </c>
      <c r="B31" s="3">
        <v>0</v>
      </c>
      <c r="C31" s="4" t="s">
        <v>1316</v>
      </c>
    </row>
    <row r="32" spans="1:3" ht="409.5" x14ac:dyDescent="0.25">
      <c r="A32" t="s">
        <v>1128</v>
      </c>
      <c r="B32" s="3">
        <v>0</v>
      </c>
      <c r="C32" s="4" t="s">
        <v>1317</v>
      </c>
    </row>
    <row r="33" spans="1:3" ht="315" x14ac:dyDescent="0.25">
      <c r="A33" t="s">
        <v>1104</v>
      </c>
      <c r="B33" s="3">
        <v>0</v>
      </c>
      <c r="C33" s="4" t="s">
        <v>1318</v>
      </c>
    </row>
    <row r="34" spans="1:3" ht="409.5" x14ac:dyDescent="0.25">
      <c r="A34" t="s">
        <v>1069</v>
      </c>
      <c r="B34" s="3">
        <v>0</v>
      </c>
      <c r="C34" s="4" t="s">
        <v>1319</v>
      </c>
    </row>
    <row r="35" spans="1:3" ht="409.5" x14ac:dyDescent="0.25">
      <c r="A35" t="s">
        <v>1026</v>
      </c>
      <c r="B35" s="3">
        <v>0</v>
      </c>
      <c r="C35" s="4" t="s">
        <v>1320</v>
      </c>
    </row>
    <row r="36" spans="1:3" ht="409.5" x14ac:dyDescent="0.25">
      <c r="A36" t="s">
        <v>1258</v>
      </c>
      <c r="B36" s="3">
        <v>0</v>
      </c>
      <c r="C36" s="4" t="s">
        <v>1321</v>
      </c>
    </row>
    <row r="37" spans="1:3" ht="409.5" x14ac:dyDescent="0.25">
      <c r="A37" t="s">
        <v>1250</v>
      </c>
      <c r="B37" s="3">
        <v>0</v>
      </c>
      <c r="C37" s="4" t="s">
        <v>1322</v>
      </c>
    </row>
    <row r="38" spans="1:3" ht="409.5" x14ac:dyDescent="0.25">
      <c r="A38" t="s">
        <v>1076</v>
      </c>
      <c r="B38" s="3">
        <v>0</v>
      </c>
      <c r="C38" s="4" t="s">
        <v>1323</v>
      </c>
    </row>
    <row r="39" spans="1:3" ht="409.5" x14ac:dyDescent="0.25">
      <c r="A39" t="s">
        <v>1090</v>
      </c>
      <c r="B39" s="3">
        <v>0</v>
      </c>
      <c r="C39" s="4" t="s">
        <v>1324</v>
      </c>
    </row>
    <row r="40" spans="1:3" ht="409.5" x14ac:dyDescent="0.25">
      <c r="A40" t="s">
        <v>1193</v>
      </c>
      <c r="B40" s="3">
        <v>0</v>
      </c>
      <c r="C40" s="4" t="s">
        <v>1325</v>
      </c>
    </row>
    <row r="41" spans="1:3" ht="409.5" x14ac:dyDescent="0.25">
      <c r="A41" t="s">
        <v>1127</v>
      </c>
      <c r="B41" s="3">
        <v>0</v>
      </c>
      <c r="C41" s="4" t="s">
        <v>1326</v>
      </c>
    </row>
    <row r="42" spans="1:3" ht="409.5" x14ac:dyDescent="0.25">
      <c r="A42" t="s">
        <v>1028</v>
      </c>
      <c r="B42" s="3">
        <v>0</v>
      </c>
      <c r="C42" s="4" t="s">
        <v>1327</v>
      </c>
    </row>
    <row r="43" spans="1:3" ht="409.5" x14ac:dyDescent="0.25">
      <c r="A43" t="s">
        <v>1272</v>
      </c>
      <c r="B43" s="3">
        <v>0</v>
      </c>
      <c r="C43" s="4" t="s">
        <v>1328</v>
      </c>
    </row>
    <row r="44" spans="1:3" ht="409.5" x14ac:dyDescent="0.25">
      <c r="A44" t="s">
        <v>1240</v>
      </c>
      <c r="B44" s="3">
        <v>0</v>
      </c>
      <c r="C44" s="4" t="s">
        <v>1329</v>
      </c>
    </row>
    <row r="45" spans="1:3" ht="409.5" x14ac:dyDescent="0.25">
      <c r="A45" t="s">
        <v>1180</v>
      </c>
      <c r="B45" s="3">
        <v>0</v>
      </c>
      <c r="C45" s="4" t="s">
        <v>1330</v>
      </c>
    </row>
    <row r="46" spans="1:3" ht="409.5" x14ac:dyDescent="0.25">
      <c r="A46" t="s">
        <v>1273</v>
      </c>
      <c r="B46" s="3">
        <v>0</v>
      </c>
      <c r="C46" s="4" t="s">
        <v>1331</v>
      </c>
    </row>
    <row r="47" spans="1:3" ht="409.5" x14ac:dyDescent="0.25">
      <c r="A47" t="s">
        <v>1166</v>
      </c>
      <c r="B47" s="3">
        <v>0</v>
      </c>
      <c r="C47" s="4" t="s">
        <v>1332</v>
      </c>
    </row>
    <row r="48" spans="1:3" ht="409.5" x14ac:dyDescent="0.25">
      <c r="A48" t="s">
        <v>1011</v>
      </c>
      <c r="B48" s="3">
        <v>0</v>
      </c>
      <c r="C48" s="4" t="s">
        <v>1333</v>
      </c>
    </row>
    <row r="49" spans="1:3" ht="409.5" x14ac:dyDescent="0.25">
      <c r="A49" t="s">
        <v>985</v>
      </c>
      <c r="B49" s="3">
        <v>0</v>
      </c>
      <c r="C49" s="4" t="s">
        <v>1334</v>
      </c>
    </row>
    <row r="50" spans="1:3" ht="409.5" x14ac:dyDescent="0.25">
      <c r="A50" t="s">
        <v>1196</v>
      </c>
      <c r="B50" s="3">
        <v>0</v>
      </c>
      <c r="C50" s="4" t="s">
        <v>1335</v>
      </c>
    </row>
    <row r="51" spans="1:3" ht="409.5" x14ac:dyDescent="0.25">
      <c r="A51" t="s">
        <v>1145</v>
      </c>
      <c r="B51" s="3">
        <v>0</v>
      </c>
      <c r="C51" s="4" t="s">
        <v>1336</v>
      </c>
    </row>
    <row r="52" spans="1:3" ht="409.5" x14ac:dyDescent="0.25">
      <c r="A52" t="s">
        <v>1181</v>
      </c>
      <c r="B52" s="3">
        <v>0</v>
      </c>
      <c r="C52" s="4" t="s">
        <v>1337</v>
      </c>
    </row>
    <row r="53" spans="1:3" ht="409.5" x14ac:dyDescent="0.25">
      <c r="A53" t="s">
        <v>936</v>
      </c>
      <c r="B53" s="3">
        <v>0</v>
      </c>
      <c r="C53" s="4" t="s">
        <v>1338</v>
      </c>
    </row>
    <row r="54" spans="1:3" ht="409.5" x14ac:dyDescent="0.25">
      <c r="A54" t="s">
        <v>983</v>
      </c>
      <c r="B54" s="3">
        <v>0</v>
      </c>
      <c r="C54" s="4" t="s">
        <v>1339</v>
      </c>
    </row>
    <row r="55" spans="1:3" ht="409.5" x14ac:dyDescent="0.25">
      <c r="A55" t="s">
        <v>1256</v>
      </c>
      <c r="B55" s="3">
        <v>0</v>
      </c>
      <c r="C55" s="4" t="s">
        <v>1340</v>
      </c>
    </row>
    <row r="56" spans="1:3" ht="409.5" x14ac:dyDescent="0.25">
      <c r="A56" t="s">
        <v>1123</v>
      </c>
      <c r="B56" s="3">
        <v>0</v>
      </c>
      <c r="C56" s="4" t="s">
        <v>1341</v>
      </c>
    </row>
    <row r="57" spans="1:3" ht="409.5" x14ac:dyDescent="0.25">
      <c r="A57" t="s">
        <v>960</v>
      </c>
      <c r="B57" s="3">
        <v>0</v>
      </c>
      <c r="C57" s="4" t="s">
        <v>1342</v>
      </c>
    </row>
    <row r="58" spans="1:3" ht="409.5" x14ac:dyDescent="0.25">
      <c r="A58" t="s">
        <v>1091</v>
      </c>
      <c r="B58" s="3">
        <v>0</v>
      </c>
      <c r="C58" s="4" t="s">
        <v>1343</v>
      </c>
    </row>
    <row r="59" spans="1:3" ht="409.5" x14ac:dyDescent="0.25">
      <c r="A59" t="s">
        <v>1204</v>
      </c>
      <c r="B59" s="3">
        <v>0</v>
      </c>
      <c r="C59" s="4" t="s">
        <v>1344</v>
      </c>
    </row>
    <row r="60" spans="1:3" ht="409.5" x14ac:dyDescent="0.25">
      <c r="A60" t="s">
        <v>941</v>
      </c>
      <c r="B60" s="3">
        <v>0</v>
      </c>
      <c r="C60" s="4" t="s">
        <v>1345</v>
      </c>
    </row>
    <row r="61" spans="1:3" ht="409.5" x14ac:dyDescent="0.25">
      <c r="A61" t="s">
        <v>1197</v>
      </c>
      <c r="B61" s="3">
        <v>0</v>
      </c>
      <c r="C61" s="4" t="s">
        <v>1346</v>
      </c>
    </row>
    <row r="62" spans="1:3" ht="409.5" x14ac:dyDescent="0.25">
      <c r="A62" t="s">
        <v>1262</v>
      </c>
      <c r="B62" s="3">
        <v>0</v>
      </c>
      <c r="C62" s="4" t="s">
        <v>1347</v>
      </c>
    </row>
    <row r="63" spans="1:3" ht="409.5" x14ac:dyDescent="0.25">
      <c r="A63" t="s">
        <v>1113</v>
      </c>
      <c r="B63" s="3">
        <v>0</v>
      </c>
      <c r="C63" s="4" t="s">
        <v>1348</v>
      </c>
    </row>
    <row r="64" spans="1:3" ht="409.5" x14ac:dyDescent="0.25">
      <c r="A64" t="s">
        <v>1110</v>
      </c>
      <c r="B64" s="3">
        <v>0</v>
      </c>
      <c r="C64" s="4" t="s">
        <v>1349</v>
      </c>
    </row>
    <row r="65" spans="1:3" ht="409.5" x14ac:dyDescent="0.25">
      <c r="A65" t="s">
        <v>945</v>
      </c>
      <c r="B65" s="3">
        <v>0</v>
      </c>
      <c r="C65" s="4" t="s">
        <v>1350</v>
      </c>
    </row>
    <row r="66" spans="1:3" ht="409.5" x14ac:dyDescent="0.25">
      <c r="A66" t="s">
        <v>1211</v>
      </c>
      <c r="B66" s="3">
        <v>1</v>
      </c>
      <c r="C66" s="4" t="s">
        <v>1351</v>
      </c>
    </row>
    <row r="67" spans="1:3" ht="409.5" x14ac:dyDescent="0.25">
      <c r="A67" t="s">
        <v>970</v>
      </c>
      <c r="B67" s="3">
        <v>1</v>
      </c>
      <c r="C67" s="4" t="s">
        <v>1352</v>
      </c>
    </row>
    <row r="68" spans="1:3" ht="409.5" x14ac:dyDescent="0.25">
      <c r="A68" t="s">
        <v>1106</v>
      </c>
      <c r="B68" s="3">
        <v>0</v>
      </c>
      <c r="C68" s="4" t="s">
        <v>1353</v>
      </c>
    </row>
    <row r="69" spans="1:3" ht="409.5" x14ac:dyDescent="0.25">
      <c r="A69" t="s">
        <v>1084</v>
      </c>
      <c r="B69" s="3">
        <v>0</v>
      </c>
      <c r="C69" s="4" t="s">
        <v>1354</v>
      </c>
    </row>
    <row r="70" spans="1:3" ht="409.5" x14ac:dyDescent="0.25">
      <c r="A70" t="s">
        <v>952</v>
      </c>
      <c r="B70" s="3">
        <v>1</v>
      </c>
      <c r="C70" s="4" t="s">
        <v>1355</v>
      </c>
    </row>
    <row r="71" spans="1:3" ht="409.5" x14ac:dyDescent="0.25">
      <c r="A71" t="s">
        <v>1179</v>
      </c>
      <c r="B71" s="3">
        <v>0</v>
      </c>
      <c r="C71" s="4" t="s">
        <v>1356</v>
      </c>
    </row>
    <row r="72" spans="1:3" ht="409.5" x14ac:dyDescent="0.25">
      <c r="A72" t="s">
        <v>1055</v>
      </c>
      <c r="B72" s="3">
        <v>0</v>
      </c>
      <c r="C72" s="4" t="s">
        <v>1357</v>
      </c>
    </row>
    <row r="73" spans="1:3" ht="409.5" x14ac:dyDescent="0.25">
      <c r="A73" t="s">
        <v>966</v>
      </c>
      <c r="B73" s="3">
        <v>0</v>
      </c>
      <c r="C73" s="4" t="s">
        <v>1358</v>
      </c>
    </row>
    <row r="74" spans="1:3" ht="409.5" x14ac:dyDescent="0.25">
      <c r="A74" t="s">
        <v>1023</v>
      </c>
      <c r="B74" s="3">
        <v>1</v>
      </c>
      <c r="C74" s="4" t="s">
        <v>1359</v>
      </c>
    </row>
    <row r="75" spans="1:3" ht="409.5" x14ac:dyDescent="0.25">
      <c r="A75" t="s">
        <v>1202</v>
      </c>
      <c r="B75" s="3">
        <v>1</v>
      </c>
      <c r="C75" s="4" t="s">
        <v>1360</v>
      </c>
    </row>
    <row r="76" spans="1:3" ht="409.5" x14ac:dyDescent="0.25">
      <c r="A76" t="s">
        <v>1002</v>
      </c>
      <c r="B76" s="3">
        <v>0</v>
      </c>
      <c r="C76" s="4" t="s">
        <v>1361</v>
      </c>
    </row>
    <row r="77" spans="1:3" ht="409.5" x14ac:dyDescent="0.25">
      <c r="A77" t="s">
        <v>1279</v>
      </c>
      <c r="B77" s="3">
        <v>0</v>
      </c>
      <c r="C77" s="4" t="s">
        <v>1362</v>
      </c>
    </row>
    <row r="78" spans="1:3" ht="409.5" x14ac:dyDescent="0.25">
      <c r="A78" t="s">
        <v>956</v>
      </c>
      <c r="B78" s="3">
        <v>0</v>
      </c>
      <c r="C78" s="4" t="s">
        <v>1363</v>
      </c>
    </row>
    <row r="79" spans="1:3" ht="409.5" x14ac:dyDescent="0.25">
      <c r="A79" t="s">
        <v>976</v>
      </c>
      <c r="B79" s="3">
        <v>0</v>
      </c>
      <c r="C79" s="4" t="s">
        <v>1364</v>
      </c>
    </row>
    <row r="80" spans="1:3" ht="409.5" x14ac:dyDescent="0.25">
      <c r="A80" t="s">
        <v>1140</v>
      </c>
      <c r="B80" s="3">
        <v>0</v>
      </c>
      <c r="C80" s="4" t="s">
        <v>1365</v>
      </c>
    </row>
    <row r="81" spans="1:3" ht="409.5" x14ac:dyDescent="0.25">
      <c r="A81" t="s">
        <v>1205</v>
      </c>
      <c r="B81" s="3">
        <v>0</v>
      </c>
      <c r="C81" s="4" t="s">
        <v>1366</v>
      </c>
    </row>
    <row r="82" spans="1:3" ht="405" x14ac:dyDescent="0.25">
      <c r="A82" t="s">
        <v>1083</v>
      </c>
      <c r="B82" s="3">
        <v>0</v>
      </c>
      <c r="C82" s="4" t="s">
        <v>1367</v>
      </c>
    </row>
    <row r="83" spans="1:3" ht="409.5" x14ac:dyDescent="0.25">
      <c r="A83" t="s">
        <v>948</v>
      </c>
      <c r="B83" s="3">
        <v>0</v>
      </c>
      <c r="C83" s="4" t="s">
        <v>1368</v>
      </c>
    </row>
    <row r="84" spans="1:3" ht="409.5" x14ac:dyDescent="0.25">
      <c r="A84" t="s">
        <v>1001</v>
      </c>
      <c r="B84" s="3">
        <v>0</v>
      </c>
      <c r="C84" s="4" t="s">
        <v>1369</v>
      </c>
    </row>
    <row r="85" spans="1:3" ht="409.5" x14ac:dyDescent="0.25">
      <c r="A85" t="s">
        <v>1192</v>
      </c>
      <c r="B85" s="3">
        <v>0</v>
      </c>
      <c r="C85" s="4" t="s">
        <v>1370</v>
      </c>
    </row>
    <row r="86" spans="1:3" ht="409.5" x14ac:dyDescent="0.25">
      <c r="A86" t="s">
        <v>1086</v>
      </c>
      <c r="B86" s="3">
        <v>0</v>
      </c>
      <c r="C86" s="4" t="s">
        <v>1371</v>
      </c>
    </row>
    <row r="87" spans="1:3" ht="409.5" x14ac:dyDescent="0.25">
      <c r="A87" t="s">
        <v>1260</v>
      </c>
      <c r="B87" s="3">
        <v>0</v>
      </c>
      <c r="C87" s="4" t="s">
        <v>1372</v>
      </c>
    </row>
    <row r="88" spans="1:3" ht="409.5" x14ac:dyDescent="0.25">
      <c r="A88" t="s">
        <v>1067</v>
      </c>
      <c r="B88" s="3">
        <v>1</v>
      </c>
      <c r="C88" s="4" t="s">
        <v>1373</v>
      </c>
    </row>
    <row r="89" spans="1:3" ht="409.5" x14ac:dyDescent="0.25">
      <c r="A89" t="s">
        <v>1042</v>
      </c>
      <c r="B89" s="3">
        <v>0</v>
      </c>
      <c r="C89" s="4" t="s">
        <v>1374</v>
      </c>
    </row>
    <row r="90" spans="1:3" ht="409.5" x14ac:dyDescent="0.25">
      <c r="A90" t="s">
        <v>1226</v>
      </c>
      <c r="B90" s="3">
        <v>0</v>
      </c>
      <c r="C90" s="4" t="s">
        <v>1375</v>
      </c>
    </row>
    <row r="91" spans="1:3" ht="409.5" x14ac:dyDescent="0.25">
      <c r="A91" t="s">
        <v>1124</v>
      </c>
      <c r="B91" s="3">
        <v>0</v>
      </c>
      <c r="C91" s="4" t="s">
        <v>1376</v>
      </c>
    </row>
    <row r="92" spans="1:3" ht="409.5" x14ac:dyDescent="0.25">
      <c r="A92" t="s">
        <v>1093</v>
      </c>
      <c r="B92" s="3">
        <v>0</v>
      </c>
      <c r="C92" s="4" t="s">
        <v>1377</v>
      </c>
    </row>
    <row r="93" spans="1:3" ht="409.5" x14ac:dyDescent="0.25">
      <c r="A93" t="s">
        <v>1005</v>
      </c>
      <c r="B93" s="3">
        <v>0</v>
      </c>
      <c r="C93" s="4" t="s">
        <v>1378</v>
      </c>
    </row>
    <row r="94" spans="1:3" ht="409.5" x14ac:dyDescent="0.25">
      <c r="A94" t="s">
        <v>999</v>
      </c>
      <c r="B94" s="3">
        <v>0</v>
      </c>
      <c r="C94" s="4" t="s">
        <v>1379</v>
      </c>
    </row>
    <row r="95" spans="1:3" ht="409.5" x14ac:dyDescent="0.25">
      <c r="A95" t="s">
        <v>1063</v>
      </c>
      <c r="B95" s="3">
        <v>0</v>
      </c>
      <c r="C95" s="4" t="s">
        <v>1380</v>
      </c>
    </row>
    <row r="96" spans="1:3" ht="409.5" x14ac:dyDescent="0.25">
      <c r="A96" t="s">
        <v>1036</v>
      </c>
      <c r="B96" s="3">
        <v>0</v>
      </c>
      <c r="C96" s="4" t="s">
        <v>1381</v>
      </c>
    </row>
    <row r="97" spans="1:3" ht="409.5" x14ac:dyDescent="0.25">
      <c r="A97" t="s">
        <v>1073</v>
      </c>
      <c r="B97" s="3">
        <v>0</v>
      </c>
      <c r="C97" s="4" t="s">
        <v>1382</v>
      </c>
    </row>
    <row r="98" spans="1:3" ht="409.5" x14ac:dyDescent="0.25">
      <c r="A98" t="s">
        <v>1174</v>
      </c>
      <c r="B98" s="3">
        <v>0</v>
      </c>
      <c r="C98" s="4" t="s">
        <v>1383</v>
      </c>
    </row>
    <row r="99" spans="1:3" ht="409.5" x14ac:dyDescent="0.25">
      <c r="A99" t="s">
        <v>1064</v>
      </c>
      <c r="B99" s="3">
        <v>0</v>
      </c>
      <c r="C99" s="4" t="s">
        <v>1384</v>
      </c>
    </row>
    <row r="100" spans="1:3" ht="409.5" x14ac:dyDescent="0.25">
      <c r="A100" t="s">
        <v>1147</v>
      </c>
      <c r="B100" s="3">
        <v>0</v>
      </c>
      <c r="C100" s="4" t="s">
        <v>1385</v>
      </c>
    </row>
    <row r="101" spans="1:3" ht="409.5" x14ac:dyDescent="0.25">
      <c r="A101" t="s">
        <v>1070</v>
      </c>
      <c r="B101" s="3">
        <v>0</v>
      </c>
      <c r="C101" s="4" t="s">
        <v>1386</v>
      </c>
    </row>
    <row r="102" spans="1:3" ht="409.5" x14ac:dyDescent="0.25">
      <c r="A102" t="s">
        <v>1126</v>
      </c>
      <c r="B102" s="3">
        <v>1</v>
      </c>
      <c r="C102" s="4" t="s">
        <v>1387</v>
      </c>
    </row>
    <row r="103" spans="1:3" ht="409.5" x14ac:dyDescent="0.25">
      <c r="A103" t="s">
        <v>1191</v>
      </c>
      <c r="B103" s="3">
        <v>0</v>
      </c>
      <c r="C103" s="4" t="s">
        <v>1388</v>
      </c>
    </row>
    <row r="104" spans="1:3" ht="409.5" x14ac:dyDescent="0.25">
      <c r="A104" t="s">
        <v>1163</v>
      </c>
      <c r="B104" s="3">
        <v>0</v>
      </c>
      <c r="C104" s="4" t="s">
        <v>1389</v>
      </c>
    </row>
    <row r="105" spans="1:3" ht="409.5" x14ac:dyDescent="0.25">
      <c r="A105" t="s">
        <v>946</v>
      </c>
      <c r="B105" s="3">
        <v>0</v>
      </c>
      <c r="C105" s="4" t="s">
        <v>1390</v>
      </c>
    </row>
    <row r="106" spans="1:3" ht="409.5" x14ac:dyDescent="0.25">
      <c r="A106" t="s">
        <v>1276</v>
      </c>
      <c r="B106" s="3">
        <v>0</v>
      </c>
      <c r="C106" s="4" t="s">
        <v>1391</v>
      </c>
    </row>
    <row r="107" spans="1:3" ht="409.5" x14ac:dyDescent="0.25">
      <c r="A107" t="s">
        <v>991</v>
      </c>
      <c r="B107" s="3">
        <v>0</v>
      </c>
      <c r="C107" s="4" t="s">
        <v>1392</v>
      </c>
    </row>
    <row r="108" spans="1:3" ht="409.5" x14ac:dyDescent="0.25">
      <c r="A108" t="s">
        <v>981</v>
      </c>
      <c r="B108" s="3">
        <v>0</v>
      </c>
      <c r="C108" s="4" t="s">
        <v>1393</v>
      </c>
    </row>
    <row r="109" spans="1:3" ht="409.5" x14ac:dyDescent="0.25">
      <c r="A109" t="s">
        <v>995</v>
      </c>
      <c r="B109" s="3">
        <v>0</v>
      </c>
      <c r="C109" s="4" t="s">
        <v>1394</v>
      </c>
    </row>
    <row r="110" spans="1:3" ht="409.5" x14ac:dyDescent="0.25">
      <c r="A110" t="s">
        <v>1218</v>
      </c>
      <c r="B110" s="3">
        <v>0</v>
      </c>
      <c r="C110" s="4" t="s">
        <v>1395</v>
      </c>
    </row>
    <row r="111" spans="1:3" ht="409.5" x14ac:dyDescent="0.25">
      <c r="A111" t="s">
        <v>1135</v>
      </c>
      <c r="B111" s="3">
        <v>0</v>
      </c>
      <c r="C111" s="4" t="s">
        <v>1396</v>
      </c>
    </row>
    <row r="112" spans="1:3" ht="409.5" x14ac:dyDescent="0.25">
      <c r="A112" t="s">
        <v>1012</v>
      </c>
      <c r="B112" s="3">
        <v>1</v>
      </c>
      <c r="C112" s="4" t="s">
        <v>1397</v>
      </c>
    </row>
    <row r="113" spans="1:3" ht="409.5" x14ac:dyDescent="0.25">
      <c r="A113" t="s">
        <v>1245</v>
      </c>
      <c r="B113" s="3">
        <v>0</v>
      </c>
      <c r="C113" s="4" t="s">
        <v>1398</v>
      </c>
    </row>
    <row r="114" spans="1:3" ht="409.5" x14ac:dyDescent="0.25">
      <c r="A114" t="s">
        <v>1022</v>
      </c>
      <c r="B114" s="3">
        <v>0</v>
      </c>
      <c r="C114" s="4" t="s">
        <v>1399</v>
      </c>
    </row>
    <row r="115" spans="1:3" ht="409.5" x14ac:dyDescent="0.25">
      <c r="A115" t="s">
        <v>1149</v>
      </c>
      <c r="B115" s="3">
        <v>0</v>
      </c>
      <c r="C115" s="4" t="s">
        <v>1400</v>
      </c>
    </row>
    <row r="116" spans="1:3" ht="409.5" x14ac:dyDescent="0.25">
      <c r="A116" t="s">
        <v>1217</v>
      </c>
      <c r="B116" s="3">
        <v>0</v>
      </c>
      <c r="C116" s="4" t="s">
        <v>1401</v>
      </c>
    </row>
    <row r="117" spans="1:3" ht="409.5" x14ac:dyDescent="0.25">
      <c r="A117" t="s">
        <v>1075</v>
      </c>
      <c r="B117" s="3">
        <v>0</v>
      </c>
      <c r="C117" s="4" t="s">
        <v>1402</v>
      </c>
    </row>
    <row r="118" spans="1:3" ht="409.5" x14ac:dyDescent="0.25">
      <c r="A118" t="s">
        <v>950</v>
      </c>
      <c r="B118" s="3">
        <v>0</v>
      </c>
      <c r="C118" s="4" t="s">
        <v>1403</v>
      </c>
    </row>
    <row r="119" spans="1:3" ht="409.5" x14ac:dyDescent="0.25">
      <c r="A119" t="s">
        <v>1020</v>
      </c>
      <c r="B119" s="3">
        <v>1</v>
      </c>
      <c r="C119" s="4" t="s">
        <v>1404</v>
      </c>
    </row>
    <row r="120" spans="1:3" ht="409.5" x14ac:dyDescent="0.25">
      <c r="A120" t="s">
        <v>1249</v>
      </c>
      <c r="B120" s="3">
        <v>0</v>
      </c>
      <c r="C120" s="4" t="s">
        <v>1405</v>
      </c>
    </row>
    <row r="121" spans="1:3" ht="409.5" x14ac:dyDescent="0.25">
      <c r="A121" t="s">
        <v>943</v>
      </c>
      <c r="B121" s="3">
        <v>0</v>
      </c>
      <c r="C121" s="4" t="s">
        <v>1406</v>
      </c>
    </row>
    <row r="122" spans="1:3" ht="409.5" x14ac:dyDescent="0.25">
      <c r="A122" t="s">
        <v>1048</v>
      </c>
      <c r="B122" s="3">
        <v>0</v>
      </c>
      <c r="C122" s="4" t="s">
        <v>1407</v>
      </c>
    </row>
    <row r="123" spans="1:3" ht="409.5" x14ac:dyDescent="0.25">
      <c r="A123" t="s">
        <v>939</v>
      </c>
      <c r="B123" s="3">
        <v>0</v>
      </c>
      <c r="C123" s="4" t="s">
        <v>1408</v>
      </c>
    </row>
    <row r="124" spans="1:3" ht="409.5" x14ac:dyDescent="0.25">
      <c r="A124" t="s">
        <v>1274</v>
      </c>
      <c r="B124" s="3">
        <v>0</v>
      </c>
      <c r="C124" s="4" t="s">
        <v>1409</v>
      </c>
    </row>
    <row r="125" spans="1:3" ht="409.5" x14ac:dyDescent="0.25">
      <c r="A125" t="s">
        <v>1159</v>
      </c>
      <c r="B125" s="3">
        <v>0</v>
      </c>
      <c r="C125" s="4" t="s">
        <v>1410</v>
      </c>
    </row>
    <row r="126" spans="1:3" ht="409.5" x14ac:dyDescent="0.25">
      <c r="A126" t="s">
        <v>1018</v>
      </c>
      <c r="B126" s="3">
        <v>0</v>
      </c>
      <c r="C126" s="4" t="s">
        <v>1411</v>
      </c>
    </row>
    <row r="127" spans="1:3" ht="409.5" x14ac:dyDescent="0.25">
      <c r="A127" t="s">
        <v>961</v>
      </c>
      <c r="B127" s="3">
        <v>0</v>
      </c>
      <c r="C127" s="4" t="s">
        <v>1412</v>
      </c>
    </row>
    <row r="128" spans="1:3" ht="409.5" x14ac:dyDescent="0.25">
      <c r="A128" t="s">
        <v>987</v>
      </c>
      <c r="B128" s="3">
        <v>0</v>
      </c>
      <c r="C128" s="4" t="s">
        <v>1413</v>
      </c>
    </row>
    <row r="129" spans="1:3" ht="409.5" x14ac:dyDescent="0.25">
      <c r="A129" t="s">
        <v>959</v>
      </c>
      <c r="B129" s="3">
        <v>0</v>
      </c>
      <c r="C129" s="4" t="s">
        <v>1414</v>
      </c>
    </row>
    <row r="130" spans="1:3" ht="409.5" x14ac:dyDescent="0.25">
      <c r="A130" t="s">
        <v>1263</v>
      </c>
      <c r="B130" s="3">
        <v>0</v>
      </c>
      <c r="C130" s="4" t="s">
        <v>1415</v>
      </c>
    </row>
    <row r="131" spans="1:3" ht="409.5" x14ac:dyDescent="0.25">
      <c r="A131" t="s">
        <v>1208</v>
      </c>
      <c r="B131" s="3">
        <v>0</v>
      </c>
      <c r="C131" s="4" t="s">
        <v>1416</v>
      </c>
    </row>
    <row r="132" spans="1:3" ht="409.5" x14ac:dyDescent="0.25">
      <c r="A132" t="s">
        <v>1082</v>
      </c>
      <c r="B132" s="3">
        <v>0</v>
      </c>
      <c r="C132" s="4" t="s">
        <v>1417</v>
      </c>
    </row>
    <row r="133" spans="1:3" ht="409.5" x14ac:dyDescent="0.25">
      <c r="A133" t="s">
        <v>942</v>
      </c>
      <c r="B133" s="3">
        <v>1</v>
      </c>
      <c r="C133" s="4" t="s">
        <v>1418</v>
      </c>
    </row>
    <row r="134" spans="1:3" ht="409.5" x14ac:dyDescent="0.25">
      <c r="A134" t="s">
        <v>1206</v>
      </c>
      <c r="B134" s="3">
        <v>0</v>
      </c>
      <c r="C134" s="4" t="s">
        <v>1419</v>
      </c>
    </row>
    <row r="135" spans="1:3" ht="409.5" x14ac:dyDescent="0.25">
      <c r="A135" t="s">
        <v>996</v>
      </c>
      <c r="B135" s="3">
        <v>0</v>
      </c>
      <c r="C135" s="4" t="s">
        <v>1420</v>
      </c>
    </row>
    <row r="136" spans="1:3" ht="409.5" x14ac:dyDescent="0.25">
      <c r="A136" t="s">
        <v>1118</v>
      </c>
      <c r="B136" s="3">
        <v>0</v>
      </c>
      <c r="C136" s="4" t="s">
        <v>1421</v>
      </c>
    </row>
    <row r="137" spans="1:3" ht="409.5" x14ac:dyDescent="0.25">
      <c r="A137" t="s">
        <v>1175</v>
      </c>
      <c r="B137" s="3">
        <v>0</v>
      </c>
      <c r="C137" s="4" t="s">
        <v>1422</v>
      </c>
    </row>
    <row r="138" spans="1:3" ht="409.5" x14ac:dyDescent="0.25">
      <c r="A138" t="s">
        <v>938</v>
      </c>
      <c r="B138" s="3">
        <v>0</v>
      </c>
      <c r="C138" s="4" t="s">
        <v>1423</v>
      </c>
    </row>
    <row r="139" spans="1:3" ht="409.5" x14ac:dyDescent="0.25">
      <c r="A139" t="s">
        <v>1097</v>
      </c>
      <c r="B139" s="3">
        <v>0</v>
      </c>
      <c r="C139" s="4" t="s">
        <v>1424</v>
      </c>
    </row>
    <row r="140" spans="1:3" ht="409.5" x14ac:dyDescent="0.25">
      <c r="A140" t="s">
        <v>1164</v>
      </c>
      <c r="B140" s="3">
        <v>0</v>
      </c>
      <c r="C140" s="4" t="s">
        <v>1425</v>
      </c>
    </row>
    <row r="141" spans="1:3" ht="409.5" x14ac:dyDescent="0.25">
      <c r="A141" t="s">
        <v>1007</v>
      </c>
      <c r="B141" s="3">
        <v>0</v>
      </c>
      <c r="C141" s="4" t="s">
        <v>1426</v>
      </c>
    </row>
    <row r="142" spans="1:3" ht="409.5" x14ac:dyDescent="0.25">
      <c r="A142" t="s">
        <v>1108</v>
      </c>
      <c r="B142" s="3">
        <v>0</v>
      </c>
      <c r="C142" s="4" t="s">
        <v>1427</v>
      </c>
    </row>
    <row r="143" spans="1:3" ht="409.5" x14ac:dyDescent="0.25">
      <c r="A143" t="s">
        <v>1215</v>
      </c>
      <c r="B143" s="3">
        <v>0</v>
      </c>
      <c r="C143" s="4" t="s">
        <v>1428</v>
      </c>
    </row>
    <row r="144" spans="1:3" ht="409.5" x14ac:dyDescent="0.25">
      <c r="A144" t="s">
        <v>1259</v>
      </c>
      <c r="B144" s="3">
        <v>0</v>
      </c>
      <c r="C144" s="4" t="s">
        <v>1429</v>
      </c>
    </row>
    <row r="145" spans="1:3" ht="409.5" x14ac:dyDescent="0.25">
      <c r="A145" t="s">
        <v>1003</v>
      </c>
      <c r="B145" s="3">
        <v>0</v>
      </c>
      <c r="C145" s="4" t="s">
        <v>1430</v>
      </c>
    </row>
    <row r="146" spans="1:3" ht="409.5" x14ac:dyDescent="0.25">
      <c r="A146" t="s">
        <v>1065</v>
      </c>
      <c r="B146" s="3">
        <v>0</v>
      </c>
      <c r="C146" s="4" t="s">
        <v>1431</v>
      </c>
    </row>
    <row r="147" spans="1:3" ht="409.5" x14ac:dyDescent="0.25">
      <c r="A147" t="s">
        <v>1131</v>
      </c>
      <c r="B147" s="3">
        <v>0</v>
      </c>
      <c r="C147" s="4" t="s">
        <v>1432</v>
      </c>
    </row>
    <row r="148" spans="1:3" ht="409.5" x14ac:dyDescent="0.25">
      <c r="A148" t="s">
        <v>1125</v>
      </c>
      <c r="B148" s="3">
        <v>0</v>
      </c>
      <c r="C148" s="4" t="s">
        <v>1433</v>
      </c>
    </row>
    <row r="149" spans="1:3" ht="409.5" x14ac:dyDescent="0.25">
      <c r="A149" t="s">
        <v>1207</v>
      </c>
      <c r="B149" s="3">
        <v>0</v>
      </c>
      <c r="C149" s="4" t="s">
        <v>1434</v>
      </c>
    </row>
    <row r="150" spans="1:3" ht="270" x14ac:dyDescent="0.25">
      <c r="A150" t="s">
        <v>1212</v>
      </c>
      <c r="B150" s="3">
        <v>0</v>
      </c>
      <c r="C150" s="4" t="s">
        <v>1435</v>
      </c>
    </row>
    <row r="151" spans="1:3" ht="409.5" x14ac:dyDescent="0.25">
      <c r="A151" t="s">
        <v>1246</v>
      </c>
      <c r="B151" s="3">
        <v>0</v>
      </c>
      <c r="C151" s="4" t="s">
        <v>1436</v>
      </c>
    </row>
    <row r="152" spans="1:3" ht="409.5" x14ac:dyDescent="0.25">
      <c r="A152" t="s">
        <v>1220</v>
      </c>
      <c r="B152" s="3">
        <v>1</v>
      </c>
      <c r="C152" s="4" t="s">
        <v>1437</v>
      </c>
    </row>
    <row r="153" spans="1:3" ht="409.5" x14ac:dyDescent="0.25">
      <c r="A153" t="s">
        <v>980</v>
      </c>
      <c r="B153" s="3">
        <v>0</v>
      </c>
      <c r="C153" s="4" t="s">
        <v>1438</v>
      </c>
    </row>
    <row r="154" spans="1:3" ht="409.5" x14ac:dyDescent="0.25">
      <c r="A154" t="s">
        <v>1038</v>
      </c>
      <c r="B154" s="3">
        <v>0</v>
      </c>
      <c r="C154" s="4" t="s">
        <v>1439</v>
      </c>
    </row>
    <row r="155" spans="1:3" ht="409.5" x14ac:dyDescent="0.25">
      <c r="A155" t="s">
        <v>1152</v>
      </c>
      <c r="B155" s="3">
        <v>0</v>
      </c>
      <c r="C155" s="4" t="s">
        <v>1440</v>
      </c>
    </row>
    <row r="156" spans="1:3" ht="409.5" x14ac:dyDescent="0.25">
      <c r="A156" t="s">
        <v>1242</v>
      </c>
      <c r="B156" s="3">
        <v>0</v>
      </c>
      <c r="C156" s="4" t="s">
        <v>1441</v>
      </c>
    </row>
    <row r="157" spans="1:3" ht="409.5" x14ac:dyDescent="0.25">
      <c r="A157" t="s">
        <v>990</v>
      </c>
      <c r="B157" s="3">
        <v>0</v>
      </c>
      <c r="C157" s="4" t="s">
        <v>1442</v>
      </c>
    </row>
    <row r="158" spans="1:3" ht="409.5" x14ac:dyDescent="0.25">
      <c r="A158" t="s">
        <v>1244</v>
      </c>
      <c r="B158" s="3">
        <v>0</v>
      </c>
      <c r="C158" s="4" t="s">
        <v>1443</v>
      </c>
    </row>
    <row r="159" spans="1:3" ht="409.5" x14ac:dyDescent="0.25">
      <c r="A159" t="s">
        <v>967</v>
      </c>
      <c r="B159" s="3">
        <v>0</v>
      </c>
      <c r="C159" s="4" t="s">
        <v>1444</v>
      </c>
    </row>
    <row r="160" spans="1:3" ht="409.5" x14ac:dyDescent="0.25">
      <c r="A160" t="s">
        <v>1266</v>
      </c>
      <c r="B160" s="3">
        <v>0</v>
      </c>
      <c r="C160" s="4" t="s">
        <v>1445</v>
      </c>
    </row>
    <row r="161" spans="1:3" ht="409.5" x14ac:dyDescent="0.25">
      <c r="A161" t="s">
        <v>989</v>
      </c>
      <c r="B161" s="3">
        <v>0</v>
      </c>
      <c r="C161" s="4" t="s">
        <v>1446</v>
      </c>
    </row>
    <row r="162" spans="1:3" ht="409.5" x14ac:dyDescent="0.25">
      <c r="A162" t="s">
        <v>1060</v>
      </c>
      <c r="B162" s="3">
        <v>0</v>
      </c>
      <c r="C162" s="4" t="s">
        <v>1447</v>
      </c>
    </row>
    <row r="163" spans="1:3" ht="409.5" x14ac:dyDescent="0.25">
      <c r="A163" t="s">
        <v>1062</v>
      </c>
      <c r="B163" s="3">
        <v>0</v>
      </c>
      <c r="C163" s="4" t="s">
        <v>1448</v>
      </c>
    </row>
    <row r="164" spans="1:3" ht="409.5" x14ac:dyDescent="0.25">
      <c r="A164" t="s">
        <v>1098</v>
      </c>
      <c r="B164" s="3">
        <v>0</v>
      </c>
      <c r="C164" s="4" t="s">
        <v>1449</v>
      </c>
    </row>
    <row r="165" spans="1:3" ht="409.5" x14ac:dyDescent="0.25">
      <c r="A165" t="s">
        <v>1027</v>
      </c>
      <c r="B165" s="3">
        <v>0</v>
      </c>
      <c r="C165" s="4" t="s">
        <v>1450</v>
      </c>
    </row>
    <row r="166" spans="1:3" ht="409.5" x14ac:dyDescent="0.25">
      <c r="A166" t="s">
        <v>1045</v>
      </c>
      <c r="B166" s="3">
        <v>0</v>
      </c>
      <c r="C166" s="4" t="s">
        <v>1451</v>
      </c>
    </row>
    <row r="167" spans="1:3" ht="409.5" x14ac:dyDescent="0.25">
      <c r="A167" t="s">
        <v>1200</v>
      </c>
      <c r="B167" s="3">
        <v>0</v>
      </c>
      <c r="C167" s="4" t="s">
        <v>1452</v>
      </c>
    </row>
    <row r="168" spans="1:3" ht="409.5" x14ac:dyDescent="0.25">
      <c r="A168" t="s">
        <v>1213</v>
      </c>
      <c r="B168" s="3">
        <v>0</v>
      </c>
      <c r="C168" s="4" t="s">
        <v>1453</v>
      </c>
    </row>
    <row r="169" spans="1:3" ht="409.5" x14ac:dyDescent="0.25">
      <c r="A169" t="s">
        <v>972</v>
      </c>
      <c r="B169" s="3">
        <v>0</v>
      </c>
      <c r="C169" s="4" t="s">
        <v>1454</v>
      </c>
    </row>
    <row r="170" spans="1:3" ht="409.5" x14ac:dyDescent="0.25">
      <c r="A170" t="s">
        <v>1059</v>
      </c>
      <c r="B170" s="3">
        <v>0</v>
      </c>
      <c r="C170" s="4" t="s">
        <v>1455</v>
      </c>
    </row>
    <row r="171" spans="1:3" ht="409.5" x14ac:dyDescent="0.25">
      <c r="A171" t="s">
        <v>639</v>
      </c>
      <c r="B171" s="3">
        <v>0</v>
      </c>
      <c r="C171" s="4" t="s">
        <v>1456</v>
      </c>
    </row>
    <row r="172" spans="1:3" ht="409.5" x14ac:dyDescent="0.25">
      <c r="A172" t="s">
        <v>1087</v>
      </c>
      <c r="B172" s="3">
        <v>0</v>
      </c>
      <c r="C172" s="4" t="s">
        <v>1457</v>
      </c>
    </row>
    <row r="173" spans="1:3" ht="409.5" x14ac:dyDescent="0.25">
      <c r="A173" t="s">
        <v>1157</v>
      </c>
      <c r="B173" s="3">
        <v>0</v>
      </c>
      <c r="C173" s="4" t="s">
        <v>1458</v>
      </c>
    </row>
    <row r="174" spans="1:3" ht="409.5" x14ac:dyDescent="0.25">
      <c r="A174" t="s">
        <v>1271</v>
      </c>
      <c r="B174" s="3">
        <v>0</v>
      </c>
      <c r="C174" s="4" t="s">
        <v>1459</v>
      </c>
    </row>
    <row r="175" spans="1:3" ht="345" x14ac:dyDescent="0.25">
      <c r="A175" t="s">
        <v>1033</v>
      </c>
      <c r="B175" s="3">
        <v>0</v>
      </c>
      <c r="C175" s="4" t="s">
        <v>1460</v>
      </c>
    </row>
    <row r="176" spans="1:3" ht="409.5" x14ac:dyDescent="0.25">
      <c r="A176" t="s">
        <v>1223</v>
      </c>
      <c r="B176" s="3">
        <v>0</v>
      </c>
      <c r="C176" s="4" t="s">
        <v>1461</v>
      </c>
    </row>
    <row r="177" spans="1:3" ht="409.5" x14ac:dyDescent="0.25">
      <c r="A177" t="s">
        <v>1043</v>
      </c>
      <c r="B177" s="3">
        <v>0</v>
      </c>
      <c r="C177" s="4" t="s">
        <v>1462</v>
      </c>
    </row>
    <row r="178" spans="1:3" ht="409.5" x14ac:dyDescent="0.25">
      <c r="A178" t="s">
        <v>1051</v>
      </c>
      <c r="B178" s="3">
        <v>0</v>
      </c>
      <c r="C178" s="4" t="s">
        <v>1463</v>
      </c>
    </row>
    <row r="179" spans="1:3" ht="409.5" x14ac:dyDescent="0.25">
      <c r="A179" t="s">
        <v>1103</v>
      </c>
      <c r="B179" s="3">
        <v>0</v>
      </c>
      <c r="C179" s="4" t="s">
        <v>1464</v>
      </c>
    </row>
    <row r="180" spans="1:3" ht="409.5" x14ac:dyDescent="0.25">
      <c r="A180" t="s">
        <v>962</v>
      </c>
      <c r="B180" s="3">
        <v>0</v>
      </c>
      <c r="C180" s="4" t="s">
        <v>1465</v>
      </c>
    </row>
    <row r="181" spans="1:3" ht="409.5" x14ac:dyDescent="0.25">
      <c r="A181" t="s">
        <v>1221</v>
      </c>
      <c r="B181" s="3">
        <v>0</v>
      </c>
      <c r="C181" s="4" t="s">
        <v>1466</v>
      </c>
    </row>
    <row r="182" spans="1:3" ht="409.5" x14ac:dyDescent="0.25">
      <c r="A182" t="s">
        <v>1081</v>
      </c>
      <c r="B182" s="3">
        <v>0</v>
      </c>
      <c r="C182" s="4" t="s">
        <v>1467</v>
      </c>
    </row>
    <row r="183" spans="1:3" ht="409.5" x14ac:dyDescent="0.25">
      <c r="A183" t="s">
        <v>1156</v>
      </c>
      <c r="B183" s="3">
        <v>0</v>
      </c>
      <c r="C183" s="4" t="s">
        <v>1468</v>
      </c>
    </row>
    <row r="184" spans="1:3" ht="409.5" x14ac:dyDescent="0.25">
      <c r="A184" t="s">
        <v>940</v>
      </c>
      <c r="B184" s="3">
        <v>0</v>
      </c>
      <c r="C184" s="4" t="s">
        <v>1469</v>
      </c>
    </row>
    <row r="185" spans="1:3" ht="225" x14ac:dyDescent="0.25">
      <c r="A185" t="s">
        <v>1277</v>
      </c>
      <c r="B185" s="3">
        <v>1</v>
      </c>
      <c r="C185" s="4" t="s">
        <v>1470</v>
      </c>
    </row>
    <row r="186" spans="1:3" ht="409.5" x14ac:dyDescent="0.25">
      <c r="A186" t="s">
        <v>1168</v>
      </c>
      <c r="B186" s="3">
        <v>0</v>
      </c>
      <c r="C186" s="4" t="s">
        <v>1471</v>
      </c>
    </row>
    <row r="187" spans="1:3" ht="409.5" x14ac:dyDescent="0.25">
      <c r="A187" t="s">
        <v>1183</v>
      </c>
      <c r="B187" s="3">
        <v>0</v>
      </c>
      <c r="C187" s="4" t="s">
        <v>1472</v>
      </c>
    </row>
    <row r="188" spans="1:3" ht="409.5" x14ac:dyDescent="0.25">
      <c r="A188" t="s">
        <v>768</v>
      </c>
      <c r="B188" s="3">
        <v>0</v>
      </c>
      <c r="C188" s="4" t="s">
        <v>1473</v>
      </c>
    </row>
    <row r="189" spans="1:3" ht="409.5" x14ac:dyDescent="0.25">
      <c r="A189" t="s">
        <v>1201</v>
      </c>
      <c r="B189" s="3">
        <v>0</v>
      </c>
      <c r="C189" s="4" t="s">
        <v>1474</v>
      </c>
    </row>
    <row r="190" spans="1:3" ht="409.5" x14ac:dyDescent="0.25">
      <c r="A190" t="s">
        <v>958</v>
      </c>
      <c r="B190" s="3">
        <v>0</v>
      </c>
      <c r="C190" s="4" t="s">
        <v>1475</v>
      </c>
    </row>
    <row r="191" spans="1:3" ht="409.5" x14ac:dyDescent="0.25">
      <c r="A191" t="s">
        <v>1282</v>
      </c>
      <c r="B191" s="3">
        <v>0</v>
      </c>
      <c r="C191" s="4" t="s">
        <v>1476</v>
      </c>
    </row>
    <row r="192" spans="1:3" ht="409.5" x14ac:dyDescent="0.25">
      <c r="A192" t="s">
        <v>1252</v>
      </c>
      <c r="B192" s="3">
        <v>1</v>
      </c>
      <c r="C192" s="4" t="s">
        <v>1477</v>
      </c>
    </row>
    <row r="193" spans="1:3" ht="409.5" x14ac:dyDescent="0.25">
      <c r="A193" t="s">
        <v>1100</v>
      </c>
      <c r="B193" s="3">
        <v>0</v>
      </c>
      <c r="C193" s="4" t="s">
        <v>1478</v>
      </c>
    </row>
    <row r="194" spans="1:3" ht="409.5" x14ac:dyDescent="0.25">
      <c r="A194" t="s">
        <v>1008</v>
      </c>
      <c r="B194" s="3">
        <v>0</v>
      </c>
      <c r="C194" s="4" t="s">
        <v>1479</v>
      </c>
    </row>
    <row r="195" spans="1:3" ht="409.5" x14ac:dyDescent="0.25">
      <c r="A195" t="s">
        <v>1025</v>
      </c>
      <c r="B195" s="3">
        <v>0</v>
      </c>
      <c r="C195" s="4" t="s">
        <v>1480</v>
      </c>
    </row>
    <row r="196" spans="1:3" ht="409.5" x14ac:dyDescent="0.25">
      <c r="A196" t="s">
        <v>1057</v>
      </c>
      <c r="B196" s="3">
        <v>0</v>
      </c>
      <c r="C196" s="4" t="s">
        <v>1481</v>
      </c>
    </row>
    <row r="197" spans="1:3" ht="409.5" x14ac:dyDescent="0.25">
      <c r="A197" t="s">
        <v>1085</v>
      </c>
      <c r="B197" s="3">
        <v>0</v>
      </c>
      <c r="C197" s="4" t="s">
        <v>1482</v>
      </c>
    </row>
    <row r="198" spans="1:3" ht="409.5" x14ac:dyDescent="0.25">
      <c r="A198" t="s">
        <v>1281</v>
      </c>
      <c r="B198" s="3">
        <v>0</v>
      </c>
      <c r="C198" s="4" t="s">
        <v>1483</v>
      </c>
    </row>
    <row r="199" spans="1:3" ht="409.5" x14ac:dyDescent="0.25">
      <c r="A199" t="s">
        <v>1112</v>
      </c>
      <c r="B199" s="3">
        <v>0</v>
      </c>
      <c r="C199" s="4" t="s">
        <v>1484</v>
      </c>
    </row>
    <row r="200" spans="1:3" ht="409.5" x14ac:dyDescent="0.25">
      <c r="A200" t="s">
        <v>1185</v>
      </c>
      <c r="B200" s="3">
        <v>0</v>
      </c>
      <c r="C200" s="4" t="s">
        <v>1485</v>
      </c>
    </row>
    <row r="201" spans="1:3" ht="409.5" x14ac:dyDescent="0.25">
      <c r="A201" t="s">
        <v>1142</v>
      </c>
      <c r="B201" s="3">
        <v>0</v>
      </c>
      <c r="C201" s="4" t="s">
        <v>1486</v>
      </c>
    </row>
    <row r="202" spans="1:3" ht="409.5" x14ac:dyDescent="0.25">
      <c r="A202" t="s">
        <v>957</v>
      </c>
      <c r="B202" s="3">
        <v>0</v>
      </c>
      <c r="C202" s="4" t="s">
        <v>1487</v>
      </c>
    </row>
    <row r="203" spans="1:3" ht="409.5" x14ac:dyDescent="0.25">
      <c r="A203" t="s">
        <v>1177</v>
      </c>
      <c r="B203" s="3">
        <v>0</v>
      </c>
      <c r="C203" s="4" t="s">
        <v>1488</v>
      </c>
    </row>
    <row r="204" spans="1:3" ht="409.5" x14ac:dyDescent="0.25">
      <c r="A204" t="s">
        <v>993</v>
      </c>
      <c r="B204" s="3">
        <v>0</v>
      </c>
      <c r="C204" s="4" t="s">
        <v>1489</v>
      </c>
    </row>
    <row r="205" spans="1:3" ht="409.5" x14ac:dyDescent="0.25">
      <c r="A205" t="s">
        <v>1117</v>
      </c>
      <c r="B205" s="3">
        <v>0</v>
      </c>
      <c r="C205" s="4" t="s">
        <v>1490</v>
      </c>
    </row>
    <row r="206" spans="1:3" ht="409.5" x14ac:dyDescent="0.25">
      <c r="A206" t="s">
        <v>1000</v>
      </c>
      <c r="B206" s="3">
        <v>0</v>
      </c>
      <c r="C206" s="4" t="s">
        <v>1491</v>
      </c>
    </row>
    <row r="207" spans="1:3" ht="409.5" x14ac:dyDescent="0.25">
      <c r="A207" t="s">
        <v>827</v>
      </c>
      <c r="B207" s="3">
        <v>0</v>
      </c>
      <c r="C207" s="4" t="s">
        <v>1492</v>
      </c>
    </row>
    <row r="208" spans="1:3" ht="409.5" x14ac:dyDescent="0.25">
      <c r="A208" t="s">
        <v>1239</v>
      </c>
      <c r="B208" s="3">
        <v>0</v>
      </c>
      <c r="C208" s="4" t="s">
        <v>1493</v>
      </c>
    </row>
    <row r="209" spans="1:3" ht="409.5" x14ac:dyDescent="0.25">
      <c r="A209" t="s">
        <v>1169</v>
      </c>
      <c r="B209" s="3">
        <v>0</v>
      </c>
      <c r="C209" s="4" t="s">
        <v>1494</v>
      </c>
    </row>
    <row r="210" spans="1:3" ht="409.5" x14ac:dyDescent="0.25">
      <c r="A210" t="s">
        <v>1224</v>
      </c>
      <c r="B210" s="3">
        <v>0</v>
      </c>
      <c r="C210" s="4" t="s">
        <v>1495</v>
      </c>
    </row>
    <row r="211" spans="1:3" ht="409.5" x14ac:dyDescent="0.25">
      <c r="A211" t="s">
        <v>1120</v>
      </c>
      <c r="B211" s="3">
        <v>0</v>
      </c>
      <c r="C211" s="4" t="s">
        <v>1496</v>
      </c>
    </row>
    <row r="212" spans="1:3" ht="409.5" x14ac:dyDescent="0.25">
      <c r="A212" t="s">
        <v>974</v>
      </c>
      <c r="B212" s="3">
        <v>0</v>
      </c>
      <c r="C212" s="4" t="s">
        <v>1497</v>
      </c>
    </row>
    <row r="213" spans="1:3" ht="409.5" x14ac:dyDescent="0.25">
      <c r="A213" t="s">
        <v>1248</v>
      </c>
      <c r="B213" s="3">
        <v>0</v>
      </c>
      <c r="C213" s="4" t="s">
        <v>1498</v>
      </c>
    </row>
    <row r="214" spans="1:3" ht="409.5" x14ac:dyDescent="0.25">
      <c r="A214" t="s">
        <v>984</v>
      </c>
      <c r="B214" s="3">
        <v>0</v>
      </c>
      <c r="C214" s="4" t="s">
        <v>1499</v>
      </c>
    </row>
    <row r="215" spans="1:3" ht="409.5" x14ac:dyDescent="0.25">
      <c r="A215" t="s">
        <v>934</v>
      </c>
      <c r="B215" s="3">
        <v>0</v>
      </c>
      <c r="C215" s="4" t="s">
        <v>1500</v>
      </c>
    </row>
    <row r="216" spans="1:3" ht="409.5" x14ac:dyDescent="0.25">
      <c r="A216" t="s">
        <v>1172</v>
      </c>
      <c r="B216" s="3">
        <v>0</v>
      </c>
      <c r="C216" s="4" t="s">
        <v>1501</v>
      </c>
    </row>
    <row r="217" spans="1:3" ht="409.5" x14ac:dyDescent="0.25">
      <c r="A217" t="s">
        <v>1105</v>
      </c>
      <c r="B217" s="3">
        <v>0</v>
      </c>
      <c r="C217" s="4" t="s">
        <v>1502</v>
      </c>
    </row>
    <row r="218" spans="1:3" ht="409.5" x14ac:dyDescent="0.25">
      <c r="A218" t="s">
        <v>1188</v>
      </c>
      <c r="B218" s="3">
        <v>0</v>
      </c>
      <c r="C218" s="4" t="s">
        <v>1503</v>
      </c>
    </row>
    <row r="219" spans="1:3" ht="409.5" x14ac:dyDescent="0.25">
      <c r="A219" t="s">
        <v>1158</v>
      </c>
      <c r="B219" s="3">
        <v>0</v>
      </c>
      <c r="C219" s="4" t="s">
        <v>1504</v>
      </c>
    </row>
    <row r="220" spans="1:3" ht="409.5" x14ac:dyDescent="0.25">
      <c r="A220" t="s">
        <v>1014</v>
      </c>
      <c r="B220" s="3">
        <v>1</v>
      </c>
      <c r="C220" s="4" t="s">
        <v>1505</v>
      </c>
    </row>
    <row r="221" spans="1:3" ht="409.5" x14ac:dyDescent="0.25">
      <c r="A221" t="s">
        <v>1080</v>
      </c>
      <c r="B221" s="3">
        <v>0</v>
      </c>
      <c r="C221" s="4" t="s">
        <v>1506</v>
      </c>
    </row>
    <row r="222" spans="1:3" ht="409.5" x14ac:dyDescent="0.25">
      <c r="A222" t="s">
        <v>1035</v>
      </c>
      <c r="B222" s="3">
        <v>1</v>
      </c>
      <c r="C222" s="4" t="s">
        <v>1507</v>
      </c>
    </row>
    <row r="223" spans="1:3" ht="409.5" x14ac:dyDescent="0.25">
      <c r="A223" t="s">
        <v>1029</v>
      </c>
      <c r="B223" s="3">
        <v>0</v>
      </c>
      <c r="C223" s="4" t="s">
        <v>1508</v>
      </c>
    </row>
    <row r="224" spans="1:3" ht="409.5" x14ac:dyDescent="0.25">
      <c r="A224" t="s">
        <v>1167</v>
      </c>
      <c r="B224" s="3">
        <v>0</v>
      </c>
      <c r="C224" s="4" t="s">
        <v>1509</v>
      </c>
    </row>
    <row r="225" spans="1:3" ht="409.5" x14ac:dyDescent="0.25">
      <c r="A225" t="s">
        <v>951</v>
      </c>
      <c r="B225" s="3">
        <v>0</v>
      </c>
      <c r="C225" s="4" t="s">
        <v>1510</v>
      </c>
    </row>
    <row r="226" spans="1:3" ht="409.5" x14ac:dyDescent="0.25">
      <c r="A226" t="s">
        <v>1199</v>
      </c>
      <c r="B226" s="3">
        <v>0</v>
      </c>
      <c r="C226" s="4" t="s">
        <v>1511</v>
      </c>
    </row>
    <row r="227" spans="1:3" ht="409.5" x14ac:dyDescent="0.25">
      <c r="A227" t="s">
        <v>975</v>
      </c>
      <c r="B227" s="3">
        <v>0</v>
      </c>
      <c r="C227" s="4" t="s">
        <v>1512</v>
      </c>
    </row>
    <row r="228" spans="1:3" ht="409.5" x14ac:dyDescent="0.25">
      <c r="A228" t="s">
        <v>1232</v>
      </c>
      <c r="B228" s="3">
        <v>0</v>
      </c>
      <c r="C228" s="4" t="s">
        <v>1513</v>
      </c>
    </row>
    <row r="229" spans="1:3" ht="409.5" x14ac:dyDescent="0.25">
      <c r="A229" t="s">
        <v>1216</v>
      </c>
      <c r="B229" s="3">
        <v>1</v>
      </c>
      <c r="C229" s="4" t="s">
        <v>1514</v>
      </c>
    </row>
    <row r="230" spans="1:3" ht="409.5" x14ac:dyDescent="0.25">
      <c r="A230" t="s">
        <v>1024</v>
      </c>
      <c r="B230" s="3">
        <v>1</v>
      </c>
      <c r="C230" s="4" t="s">
        <v>1515</v>
      </c>
    </row>
    <row r="231" spans="1:3" ht="409.5" x14ac:dyDescent="0.25">
      <c r="A231" t="s">
        <v>1257</v>
      </c>
      <c r="B231" s="3">
        <v>0</v>
      </c>
      <c r="C231" s="4" t="s">
        <v>1516</v>
      </c>
    </row>
    <row r="232" spans="1:3" ht="409.5" x14ac:dyDescent="0.25">
      <c r="A232" t="s">
        <v>1264</v>
      </c>
      <c r="B232" s="3">
        <v>0</v>
      </c>
      <c r="C232" s="4" t="s">
        <v>1517</v>
      </c>
    </row>
    <row r="233" spans="1:3" ht="409.5" x14ac:dyDescent="0.25">
      <c r="A233" t="s">
        <v>1032</v>
      </c>
      <c r="B233" s="3">
        <v>1</v>
      </c>
      <c r="C233" s="4" t="s">
        <v>1518</v>
      </c>
    </row>
    <row r="234" spans="1:3" ht="409.5" x14ac:dyDescent="0.25">
      <c r="A234" t="s">
        <v>1143</v>
      </c>
      <c r="B234" s="3">
        <v>0</v>
      </c>
      <c r="C234" s="4" t="s">
        <v>1519</v>
      </c>
    </row>
    <row r="235" spans="1:3" ht="315" x14ac:dyDescent="0.25">
      <c r="A235" t="s">
        <v>1132</v>
      </c>
      <c r="B235" s="3">
        <v>0</v>
      </c>
      <c r="C235" s="4" t="s">
        <v>1520</v>
      </c>
    </row>
    <row r="236" spans="1:3" ht="409.5" x14ac:dyDescent="0.25">
      <c r="A236" t="s">
        <v>1280</v>
      </c>
      <c r="B236" s="3">
        <v>0</v>
      </c>
      <c r="C236" s="4" t="s">
        <v>1521</v>
      </c>
    </row>
    <row r="237" spans="1:3" ht="180" x14ac:dyDescent="0.25">
      <c r="A237" t="s">
        <v>935</v>
      </c>
      <c r="B237" s="3">
        <v>0</v>
      </c>
      <c r="C237" s="4" t="s">
        <v>1522</v>
      </c>
    </row>
    <row r="238" spans="1:3" ht="409.5" x14ac:dyDescent="0.25">
      <c r="A238" t="s">
        <v>979</v>
      </c>
      <c r="B238" s="3">
        <v>0</v>
      </c>
      <c r="C238" s="4" t="s">
        <v>1523</v>
      </c>
    </row>
    <row r="239" spans="1:3" ht="409.5" x14ac:dyDescent="0.25">
      <c r="A239" t="s">
        <v>1088</v>
      </c>
      <c r="B239" s="3">
        <v>0</v>
      </c>
      <c r="C239" s="4" t="s">
        <v>1524</v>
      </c>
    </row>
    <row r="240" spans="1:3" ht="409.5" x14ac:dyDescent="0.25">
      <c r="A240" t="s">
        <v>1234</v>
      </c>
      <c r="B240" s="3">
        <v>0</v>
      </c>
      <c r="C240" s="4" t="s">
        <v>1525</v>
      </c>
    </row>
    <row r="241" spans="1:3" ht="409.5" x14ac:dyDescent="0.25">
      <c r="A241" t="s">
        <v>1137</v>
      </c>
      <c r="B241" s="3">
        <v>0</v>
      </c>
      <c r="C241" s="4" t="s">
        <v>1526</v>
      </c>
    </row>
    <row r="242" spans="1:3" ht="409.5" x14ac:dyDescent="0.25">
      <c r="A242" t="s">
        <v>1034</v>
      </c>
      <c r="B242" s="3">
        <v>0</v>
      </c>
      <c r="C242" s="4" t="s">
        <v>1527</v>
      </c>
    </row>
    <row r="243" spans="1:3" ht="409.5" x14ac:dyDescent="0.25">
      <c r="A243" t="s">
        <v>1015</v>
      </c>
      <c r="B243" s="3">
        <v>0</v>
      </c>
      <c r="C243" s="4" t="s">
        <v>1528</v>
      </c>
    </row>
    <row r="244" spans="1:3" ht="409.5" x14ac:dyDescent="0.25">
      <c r="A244" t="s">
        <v>1016</v>
      </c>
      <c r="B244" s="3">
        <v>0</v>
      </c>
      <c r="C244" s="4" t="s">
        <v>1529</v>
      </c>
    </row>
    <row r="245" spans="1:3" ht="409.5" x14ac:dyDescent="0.25">
      <c r="A245" t="s">
        <v>964</v>
      </c>
      <c r="B245" s="3">
        <v>1</v>
      </c>
      <c r="C245" s="4" t="s">
        <v>1530</v>
      </c>
    </row>
    <row r="246" spans="1:3" ht="409.5" x14ac:dyDescent="0.25">
      <c r="A246" t="s">
        <v>1184</v>
      </c>
      <c r="B246" s="3">
        <v>0</v>
      </c>
      <c r="C246" s="4" t="s">
        <v>1531</v>
      </c>
    </row>
    <row r="247" spans="1:3" ht="409.5" x14ac:dyDescent="0.25">
      <c r="A247" t="s">
        <v>1136</v>
      </c>
      <c r="B247" s="3">
        <v>0</v>
      </c>
      <c r="C247" s="4" t="s">
        <v>1532</v>
      </c>
    </row>
    <row r="248" spans="1:3" ht="409.5" x14ac:dyDescent="0.25">
      <c r="A248" t="s">
        <v>1004</v>
      </c>
      <c r="B248" s="3">
        <v>0</v>
      </c>
      <c r="C248" s="4" t="s">
        <v>1533</v>
      </c>
    </row>
    <row r="249" spans="1:3" ht="409.5" x14ac:dyDescent="0.25">
      <c r="A249" t="s">
        <v>1066</v>
      </c>
      <c r="B249" s="3">
        <v>0</v>
      </c>
      <c r="C249" s="4" t="s">
        <v>1534</v>
      </c>
    </row>
    <row r="250" spans="1:3" ht="409.5" x14ac:dyDescent="0.25">
      <c r="A250" t="s">
        <v>1010</v>
      </c>
      <c r="B250" s="3">
        <v>0</v>
      </c>
      <c r="C250" s="4" t="s">
        <v>1535</v>
      </c>
    </row>
    <row r="251" spans="1:3" ht="409.5" x14ac:dyDescent="0.25">
      <c r="A251" t="s">
        <v>1141</v>
      </c>
      <c r="B251" s="3">
        <v>0</v>
      </c>
      <c r="C251" s="4" t="s">
        <v>1536</v>
      </c>
    </row>
    <row r="252" spans="1:3" ht="390" x14ac:dyDescent="0.25">
      <c r="A252" t="s">
        <v>1198</v>
      </c>
      <c r="B252" s="3">
        <v>0</v>
      </c>
      <c r="C252" s="4" t="s">
        <v>1537</v>
      </c>
    </row>
    <row r="253" spans="1:3" ht="409.5" x14ac:dyDescent="0.25">
      <c r="A253" t="s">
        <v>1161</v>
      </c>
      <c r="B253" s="3">
        <v>0</v>
      </c>
      <c r="C253" s="4" t="s">
        <v>1538</v>
      </c>
    </row>
    <row r="254" spans="1:3" ht="409.5" x14ac:dyDescent="0.25">
      <c r="A254" t="s">
        <v>953</v>
      </c>
      <c r="B254" s="3">
        <v>1</v>
      </c>
      <c r="C254" s="4" t="s">
        <v>1539</v>
      </c>
    </row>
    <row r="255" spans="1:3" ht="409.5" x14ac:dyDescent="0.25">
      <c r="A255" t="s">
        <v>1039</v>
      </c>
      <c r="B255" s="3">
        <v>0</v>
      </c>
      <c r="C255" s="4" t="s">
        <v>1540</v>
      </c>
    </row>
    <row r="256" spans="1:3" ht="409.5" x14ac:dyDescent="0.25">
      <c r="A256" t="s">
        <v>1243</v>
      </c>
      <c r="B256" s="3">
        <v>0</v>
      </c>
      <c r="C256" s="4" t="s">
        <v>1541</v>
      </c>
    </row>
    <row r="257" spans="1:3" ht="409.5" x14ac:dyDescent="0.25">
      <c r="A257" t="s">
        <v>1130</v>
      </c>
      <c r="B257" s="3">
        <v>0</v>
      </c>
      <c r="C257" s="4" t="s">
        <v>1542</v>
      </c>
    </row>
    <row r="258" spans="1:3" ht="409.5" x14ac:dyDescent="0.25">
      <c r="A258" t="s">
        <v>1275</v>
      </c>
      <c r="B258" s="3">
        <v>1</v>
      </c>
      <c r="C258" s="4" t="s">
        <v>1543</v>
      </c>
    </row>
    <row r="259" spans="1:3" ht="409.5" x14ac:dyDescent="0.25">
      <c r="A259" t="s">
        <v>1233</v>
      </c>
      <c r="B259" s="3">
        <v>0</v>
      </c>
      <c r="C259" s="4" t="s">
        <v>1544</v>
      </c>
    </row>
    <row r="260" spans="1:3" ht="409.5" x14ac:dyDescent="0.25">
      <c r="A260" t="s">
        <v>1095</v>
      </c>
      <c r="B260" s="3">
        <v>0</v>
      </c>
      <c r="C260" s="4" t="s">
        <v>1545</v>
      </c>
    </row>
    <row r="261" spans="1:3" ht="409.5" x14ac:dyDescent="0.25">
      <c r="A261" t="s">
        <v>947</v>
      </c>
      <c r="B261" s="3">
        <v>0</v>
      </c>
      <c r="C261" s="4" t="s">
        <v>1546</v>
      </c>
    </row>
    <row r="262" spans="1:3" ht="409.5" x14ac:dyDescent="0.25">
      <c r="A262" t="s">
        <v>1009</v>
      </c>
      <c r="B262" s="3">
        <v>0</v>
      </c>
      <c r="C262" s="4" t="s">
        <v>1547</v>
      </c>
    </row>
    <row r="263" spans="1:3" ht="409.5" x14ac:dyDescent="0.25">
      <c r="A263" t="s">
        <v>1253</v>
      </c>
      <c r="B263" s="3">
        <v>1</v>
      </c>
      <c r="C263" s="4" t="s">
        <v>1548</v>
      </c>
    </row>
    <row r="264" spans="1:3" ht="409.5" x14ac:dyDescent="0.25">
      <c r="A264" t="s">
        <v>955</v>
      </c>
      <c r="B264" s="3">
        <v>0</v>
      </c>
      <c r="C264" s="4" t="s">
        <v>1549</v>
      </c>
    </row>
    <row r="265" spans="1:3" ht="409.5" x14ac:dyDescent="0.25">
      <c r="A265" t="s">
        <v>1121</v>
      </c>
      <c r="B265" s="3">
        <v>0</v>
      </c>
      <c r="C265" s="4" t="s">
        <v>1550</v>
      </c>
    </row>
    <row r="266" spans="1:3" ht="409.5" x14ac:dyDescent="0.25">
      <c r="A266" t="s">
        <v>978</v>
      </c>
      <c r="B266" s="3">
        <v>1</v>
      </c>
      <c r="C266" s="4" t="s">
        <v>1551</v>
      </c>
    </row>
    <row r="267" spans="1:3" ht="409.5" x14ac:dyDescent="0.25">
      <c r="A267" t="s">
        <v>1044</v>
      </c>
      <c r="B267" s="3">
        <v>0</v>
      </c>
      <c r="C267" s="4" t="s">
        <v>1552</v>
      </c>
    </row>
    <row r="268" spans="1:3" ht="409.5" x14ac:dyDescent="0.25">
      <c r="A268" t="s">
        <v>1187</v>
      </c>
      <c r="B268" s="3">
        <v>0</v>
      </c>
      <c r="C268" s="4" t="s">
        <v>1553</v>
      </c>
    </row>
    <row r="269" spans="1:3" ht="409.5" x14ac:dyDescent="0.25">
      <c r="A269" t="s">
        <v>1178</v>
      </c>
      <c r="B269" s="3">
        <v>0</v>
      </c>
      <c r="C269" s="4" t="s">
        <v>1554</v>
      </c>
    </row>
    <row r="270" spans="1:3" ht="409.5" x14ac:dyDescent="0.25">
      <c r="A270" t="s">
        <v>986</v>
      </c>
      <c r="B270" s="3">
        <v>0</v>
      </c>
      <c r="C270" s="4" t="s">
        <v>1555</v>
      </c>
    </row>
    <row r="271" spans="1:3" ht="409.5" x14ac:dyDescent="0.25">
      <c r="A271" t="s">
        <v>988</v>
      </c>
      <c r="B271" s="3">
        <v>0</v>
      </c>
      <c r="C271" s="4" t="s">
        <v>1556</v>
      </c>
    </row>
    <row r="272" spans="1:3" ht="409.5" x14ac:dyDescent="0.25">
      <c r="A272" t="s">
        <v>1278</v>
      </c>
      <c r="B272" s="3">
        <v>0</v>
      </c>
      <c r="C272" s="4" t="s">
        <v>1557</v>
      </c>
    </row>
    <row r="273" spans="1:3" ht="409.5" x14ac:dyDescent="0.25">
      <c r="A273" t="s">
        <v>1237</v>
      </c>
      <c r="B273" s="3">
        <v>0</v>
      </c>
      <c r="C273" s="4" t="s">
        <v>1558</v>
      </c>
    </row>
    <row r="274" spans="1:3" ht="409.5" x14ac:dyDescent="0.25">
      <c r="A274" t="s">
        <v>1031</v>
      </c>
      <c r="B274" s="3">
        <v>0</v>
      </c>
      <c r="C274" s="4" t="s">
        <v>1559</v>
      </c>
    </row>
    <row r="275" spans="1:3" ht="409.5" x14ac:dyDescent="0.25">
      <c r="A275" t="s">
        <v>1150</v>
      </c>
      <c r="B275" s="3">
        <v>0</v>
      </c>
      <c r="C275" s="4" t="s">
        <v>1560</v>
      </c>
    </row>
    <row r="276" spans="1:3" ht="409.5" x14ac:dyDescent="0.25">
      <c r="A276" t="s">
        <v>954</v>
      </c>
      <c r="B276" s="3">
        <v>0</v>
      </c>
      <c r="C276" s="4" t="s">
        <v>1561</v>
      </c>
    </row>
    <row r="277" spans="1:3" ht="409.5" x14ac:dyDescent="0.25">
      <c r="A277" t="s">
        <v>1071</v>
      </c>
      <c r="B277" s="3">
        <v>1</v>
      </c>
      <c r="C277" s="4" t="s">
        <v>1562</v>
      </c>
    </row>
    <row r="278" spans="1:3" ht="409.5" x14ac:dyDescent="0.25">
      <c r="A278" t="s">
        <v>1109</v>
      </c>
      <c r="B278" s="3">
        <v>0</v>
      </c>
      <c r="C278" s="4" t="s">
        <v>1563</v>
      </c>
    </row>
    <row r="279" spans="1:3" ht="409.5" x14ac:dyDescent="0.25">
      <c r="A279" t="s">
        <v>992</v>
      </c>
      <c r="B279" s="3">
        <v>1</v>
      </c>
      <c r="C279" s="4" t="s">
        <v>1564</v>
      </c>
    </row>
    <row r="280" spans="1:3" ht="409.5" x14ac:dyDescent="0.25">
      <c r="A280" t="s">
        <v>1219</v>
      </c>
      <c r="B280" s="3">
        <v>0</v>
      </c>
      <c r="C280" s="4" t="s">
        <v>1565</v>
      </c>
    </row>
    <row r="281" spans="1:3" ht="409.5" x14ac:dyDescent="0.25">
      <c r="A281" t="s">
        <v>1265</v>
      </c>
      <c r="B281" s="3">
        <v>1</v>
      </c>
      <c r="C281" s="4" t="s">
        <v>1566</v>
      </c>
    </row>
    <row r="282" spans="1:3" ht="409.5" x14ac:dyDescent="0.25">
      <c r="A282" t="s">
        <v>1054</v>
      </c>
      <c r="B282" s="3">
        <v>0</v>
      </c>
      <c r="C282" s="4" t="s">
        <v>1567</v>
      </c>
    </row>
    <row r="283" spans="1:3" ht="409.5" x14ac:dyDescent="0.25">
      <c r="A283" t="s">
        <v>1006</v>
      </c>
      <c r="B283" s="3">
        <v>0</v>
      </c>
      <c r="C283" s="4" t="s">
        <v>1568</v>
      </c>
    </row>
    <row r="284" spans="1:3" ht="409.5" x14ac:dyDescent="0.25">
      <c r="A284" t="s">
        <v>1247</v>
      </c>
      <c r="B284" s="3">
        <v>0</v>
      </c>
      <c r="C284" s="4" t="s">
        <v>1569</v>
      </c>
    </row>
    <row r="285" spans="1:3" ht="409.5" x14ac:dyDescent="0.25">
      <c r="A285" t="s">
        <v>963</v>
      </c>
      <c r="B285" s="3">
        <v>0</v>
      </c>
      <c r="C285" s="4" t="s">
        <v>1570</v>
      </c>
    </row>
    <row r="286" spans="1:3" ht="409.5" x14ac:dyDescent="0.25">
      <c r="A286" t="s">
        <v>1160</v>
      </c>
      <c r="B286" s="3">
        <v>0</v>
      </c>
      <c r="C286" s="4" t="s">
        <v>1571</v>
      </c>
    </row>
    <row r="287" spans="1:3" ht="135" x14ac:dyDescent="0.25">
      <c r="A287" t="s">
        <v>965</v>
      </c>
      <c r="B287" s="3">
        <v>1</v>
      </c>
      <c r="C287" s="4" t="s">
        <v>1572</v>
      </c>
    </row>
    <row r="288" spans="1:3" ht="409.5" x14ac:dyDescent="0.25">
      <c r="A288" t="s">
        <v>1115</v>
      </c>
      <c r="B288" s="3">
        <v>0</v>
      </c>
      <c r="C288" s="4" t="s">
        <v>1573</v>
      </c>
    </row>
    <row r="289" spans="1:3" ht="409.5" x14ac:dyDescent="0.25">
      <c r="A289" t="s">
        <v>1094</v>
      </c>
      <c r="B289" s="3">
        <v>0</v>
      </c>
      <c r="C289" s="4" t="s">
        <v>1574</v>
      </c>
    </row>
    <row r="290" spans="1:3" ht="409.5" x14ac:dyDescent="0.25">
      <c r="A290" t="s">
        <v>1013</v>
      </c>
      <c r="B290" s="3">
        <v>0</v>
      </c>
      <c r="C290" s="4" t="s">
        <v>1575</v>
      </c>
    </row>
    <row r="291" spans="1:3" ht="409.5" x14ac:dyDescent="0.25">
      <c r="A291" t="s">
        <v>944</v>
      </c>
      <c r="B291" s="3">
        <v>0</v>
      </c>
      <c r="C291" s="4" t="s">
        <v>1576</v>
      </c>
    </row>
    <row r="292" spans="1:3" ht="409.5" x14ac:dyDescent="0.25">
      <c r="A292" t="s">
        <v>1203</v>
      </c>
      <c r="B292" s="3">
        <v>0</v>
      </c>
      <c r="C292" s="4" t="s">
        <v>1577</v>
      </c>
    </row>
    <row r="293" spans="1:3" ht="409.5" x14ac:dyDescent="0.25">
      <c r="A293" t="s">
        <v>1134</v>
      </c>
      <c r="B293" s="3">
        <v>0</v>
      </c>
      <c r="C293" s="4" t="s">
        <v>1578</v>
      </c>
    </row>
    <row r="294" spans="1:3" ht="409.5" x14ac:dyDescent="0.25">
      <c r="A294" t="s">
        <v>1061</v>
      </c>
      <c r="B294" s="3">
        <v>0</v>
      </c>
      <c r="C294" s="4" t="s">
        <v>1579</v>
      </c>
    </row>
    <row r="295" spans="1:3" ht="405" x14ac:dyDescent="0.25">
      <c r="A295" t="s">
        <v>1144</v>
      </c>
      <c r="B295" s="3">
        <v>1</v>
      </c>
      <c r="C295" s="4" t="s">
        <v>1580</v>
      </c>
    </row>
    <row r="296" spans="1:3" ht="409.5" x14ac:dyDescent="0.25">
      <c r="A296" t="s">
        <v>1270</v>
      </c>
      <c r="B296" s="3">
        <v>0</v>
      </c>
      <c r="C296" s="4" t="s">
        <v>1581</v>
      </c>
    </row>
    <row r="297" spans="1:3" ht="409.5" x14ac:dyDescent="0.25">
      <c r="A297" t="s">
        <v>1269</v>
      </c>
      <c r="B297" s="3">
        <v>0</v>
      </c>
      <c r="C297" s="4" t="s">
        <v>1582</v>
      </c>
    </row>
    <row r="298" spans="1:3" ht="409.5" x14ac:dyDescent="0.25">
      <c r="A298" t="s">
        <v>1037</v>
      </c>
      <c r="B298" s="3">
        <v>0</v>
      </c>
      <c r="C298" s="4" t="s">
        <v>1583</v>
      </c>
    </row>
    <row r="299" spans="1:3" ht="409.5" x14ac:dyDescent="0.25">
      <c r="A299" t="s">
        <v>1261</v>
      </c>
      <c r="B299" s="3">
        <v>0</v>
      </c>
      <c r="C299" s="4" t="s">
        <v>1584</v>
      </c>
    </row>
    <row r="300" spans="1:3" ht="409.5" x14ac:dyDescent="0.25">
      <c r="A300" t="s">
        <v>1195</v>
      </c>
      <c r="B300" s="3">
        <v>0</v>
      </c>
      <c r="C300" s="4" t="s">
        <v>1585</v>
      </c>
    </row>
    <row r="301" spans="1:3" ht="409.5" x14ac:dyDescent="0.25">
      <c r="A301" t="s">
        <v>1019</v>
      </c>
      <c r="B301" s="3">
        <v>0</v>
      </c>
      <c r="C301" s="4" t="s">
        <v>1586</v>
      </c>
    </row>
    <row r="302" spans="1:3" ht="409.5" x14ac:dyDescent="0.25">
      <c r="A302" t="s">
        <v>1251</v>
      </c>
      <c r="B302" s="3">
        <v>0</v>
      </c>
      <c r="C302" s="4" t="s">
        <v>1587</v>
      </c>
    </row>
    <row r="303" spans="1:3" ht="409.5" x14ac:dyDescent="0.25">
      <c r="A303" t="s">
        <v>969</v>
      </c>
      <c r="B303" s="3">
        <v>0</v>
      </c>
      <c r="C303" s="4" t="s">
        <v>1588</v>
      </c>
    </row>
    <row r="304" spans="1:3" ht="409.5" x14ac:dyDescent="0.25">
      <c r="A304" t="s">
        <v>1148</v>
      </c>
      <c r="B304" s="3">
        <v>1</v>
      </c>
      <c r="C304" s="4" t="s">
        <v>1589</v>
      </c>
    </row>
    <row r="305" spans="1:3" ht="409.5" x14ac:dyDescent="0.25">
      <c r="A305" t="s">
        <v>1079</v>
      </c>
      <c r="B305" s="3">
        <v>0</v>
      </c>
      <c r="C305" s="4" t="s">
        <v>1590</v>
      </c>
    </row>
    <row r="306" spans="1:3" ht="409.5" x14ac:dyDescent="0.25">
      <c r="A306" t="s">
        <v>977</v>
      </c>
      <c r="B306" s="3">
        <v>1</v>
      </c>
      <c r="C306" s="4" t="s">
        <v>1591</v>
      </c>
    </row>
    <row r="307" spans="1:3" ht="409.5" x14ac:dyDescent="0.25">
      <c r="A307" t="s">
        <v>1107</v>
      </c>
      <c r="B307" s="3">
        <v>0</v>
      </c>
      <c r="C307" s="4" t="s">
        <v>1592</v>
      </c>
    </row>
    <row r="308" spans="1:3" ht="409.5" x14ac:dyDescent="0.25">
      <c r="A308" t="s">
        <v>1040</v>
      </c>
      <c r="B308" s="3">
        <v>1</v>
      </c>
      <c r="C308" s="4" t="s">
        <v>1593</v>
      </c>
    </row>
    <row r="309" spans="1:3" ht="409.5" x14ac:dyDescent="0.25">
      <c r="A309" t="s">
        <v>354</v>
      </c>
      <c r="B309" s="3">
        <v>1</v>
      </c>
      <c r="C309" s="4" t="s">
        <v>1594</v>
      </c>
    </row>
    <row r="310" spans="1:3" ht="409.5" x14ac:dyDescent="0.25">
      <c r="A310" t="s">
        <v>1050</v>
      </c>
      <c r="B310" s="3">
        <v>0</v>
      </c>
      <c r="C310" s="4" t="s">
        <v>1595</v>
      </c>
    </row>
    <row r="311" spans="1:3" ht="409.5" x14ac:dyDescent="0.25">
      <c r="A311" t="s">
        <v>1116</v>
      </c>
      <c r="B311" s="3">
        <v>0</v>
      </c>
      <c r="C311" s="4" t="s">
        <v>1596</v>
      </c>
    </row>
    <row r="312" spans="1:3" ht="409.5" x14ac:dyDescent="0.25">
      <c r="A312" t="s">
        <v>1228</v>
      </c>
      <c r="B312" s="3">
        <v>0</v>
      </c>
      <c r="C312" s="4" t="s">
        <v>1597</v>
      </c>
    </row>
    <row r="313" spans="1:3" ht="409.5" x14ac:dyDescent="0.25">
      <c r="A313" t="s">
        <v>1227</v>
      </c>
      <c r="B313" s="3">
        <v>0</v>
      </c>
      <c r="C313" s="4" t="s">
        <v>1598</v>
      </c>
    </row>
    <row r="314" spans="1:3" ht="409.5" x14ac:dyDescent="0.25">
      <c r="A314" t="s">
        <v>1099</v>
      </c>
      <c r="B314" s="3">
        <v>1</v>
      </c>
      <c r="C314" s="4" t="s">
        <v>1599</v>
      </c>
    </row>
    <row r="315" spans="1:3" ht="409.5" x14ac:dyDescent="0.25">
      <c r="A315" t="s">
        <v>1153</v>
      </c>
      <c r="B315" s="3">
        <v>0</v>
      </c>
      <c r="C315" s="4" t="s">
        <v>1600</v>
      </c>
    </row>
    <row r="316" spans="1:3" ht="409.5" x14ac:dyDescent="0.25">
      <c r="A316" t="s">
        <v>1225</v>
      </c>
      <c r="B316" s="3">
        <v>0</v>
      </c>
      <c r="C316" s="4" t="s">
        <v>1601</v>
      </c>
    </row>
    <row r="317" spans="1:3" ht="409.5" x14ac:dyDescent="0.25">
      <c r="A317" t="s">
        <v>1119</v>
      </c>
      <c r="B317" s="3">
        <v>0</v>
      </c>
      <c r="C317" s="4" t="s">
        <v>1602</v>
      </c>
    </row>
    <row r="318" spans="1:3" ht="409.5" x14ac:dyDescent="0.25">
      <c r="A318" t="s">
        <v>1111</v>
      </c>
      <c r="B318" s="3">
        <v>0</v>
      </c>
      <c r="C318" s="4" t="s">
        <v>1603</v>
      </c>
    </row>
    <row r="319" spans="1:3" ht="409.5" x14ac:dyDescent="0.25">
      <c r="A319" t="s">
        <v>1058</v>
      </c>
      <c r="B319" s="3">
        <v>0</v>
      </c>
      <c r="C319" s="4" t="s">
        <v>1604</v>
      </c>
    </row>
    <row r="320" spans="1:3" ht="409.5" x14ac:dyDescent="0.25">
      <c r="A320" t="s">
        <v>593</v>
      </c>
      <c r="B320" s="3">
        <v>1</v>
      </c>
      <c r="C320" s="4" t="s">
        <v>1605</v>
      </c>
    </row>
    <row r="321" spans="1:3" ht="409.5" x14ac:dyDescent="0.25">
      <c r="A321" t="s">
        <v>1186</v>
      </c>
      <c r="B321" s="3">
        <v>0</v>
      </c>
      <c r="C321" s="4" t="s">
        <v>1606</v>
      </c>
    </row>
    <row r="322" spans="1:3" ht="409.5" x14ac:dyDescent="0.25">
      <c r="A322" t="s">
        <v>1056</v>
      </c>
      <c r="B322" s="3">
        <v>0</v>
      </c>
      <c r="C322" s="4" t="s">
        <v>1607</v>
      </c>
    </row>
    <row r="323" spans="1:3" ht="409.5" x14ac:dyDescent="0.25">
      <c r="A323" t="s">
        <v>973</v>
      </c>
      <c r="B323" s="3">
        <v>0</v>
      </c>
      <c r="C323" s="4" t="s">
        <v>1608</v>
      </c>
    </row>
    <row r="324" spans="1:3" ht="409.5" x14ac:dyDescent="0.25">
      <c r="A324" t="s">
        <v>1176</v>
      </c>
      <c r="B324" s="3">
        <v>0</v>
      </c>
      <c r="C324" s="4" t="s">
        <v>1609</v>
      </c>
    </row>
    <row r="325" spans="1:3" ht="409.5" x14ac:dyDescent="0.25">
      <c r="A325" t="s">
        <v>1154</v>
      </c>
      <c r="B325" s="3">
        <v>0</v>
      </c>
      <c r="C325" s="4" t="s">
        <v>1610</v>
      </c>
    </row>
    <row r="326" spans="1:3" ht="409.5" x14ac:dyDescent="0.25">
      <c r="A326" t="s">
        <v>1138</v>
      </c>
      <c r="B326" s="3">
        <v>0</v>
      </c>
      <c r="C326" s="4" t="s">
        <v>1611</v>
      </c>
    </row>
    <row r="327" spans="1:3" ht="409.5" x14ac:dyDescent="0.25">
      <c r="A327" t="s">
        <v>1231</v>
      </c>
      <c r="B327" s="3">
        <v>0</v>
      </c>
      <c r="C327" s="4" t="s">
        <v>1612</v>
      </c>
    </row>
    <row r="328" spans="1:3" ht="409.5" x14ac:dyDescent="0.25">
      <c r="A328" t="s">
        <v>1165</v>
      </c>
      <c r="B328" s="3">
        <v>0</v>
      </c>
      <c r="C328" s="4" t="s">
        <v>1613</v>
      </c>
    </row>
    <row r="329" spans="1:3" ht="409.5" x14ac:dyDescent="0.25">
      <c r="A329" t="s">
        <v>1101</v>
      </c>
      <c r="B329" s="3">
        <v>0</v>
      </c>
      <c r="C329" s="4" t="s">
        <v>1614</v>
      </c>
    </row>
    <row r="330" spans="1:3" ht="409.5" x14ac:dyDescent="0.25">
      <c r="A330" t="s">
        <v>1072</v>
      </c>
      <c r="B330" s="3">
        <v>0</v>
      </c>
      <c r="C330" s="4" t="s">
        <v>1615</v>
      </c>
    </row>
    <row r="331" spans="1:3" ht="409.5" x14ac:dyDescent="0.25">
      <c r="A331" t="s">
        <v>1235</v>
      </c>
      <c r="B331" s="3">
        <v>0</v>
      </c>
      <c r="C331" s="4" t="s">
        <v>1616</v>
      </c>
    </row>
    <row r="332" spans="1:3" ht="409.5" x14ac:dyDescent="0.25">
      <c r="A332" t="s">
        <v>1210</v>
      </c>
      <c r="B332" s="3">
        <v>0</v>
      </c>
      <c r="C332" s="4" t="s">
        <v>1617</v>
      </c>
    </row>
    <row r="333" spans="1:3" ht="409.5" x14ac:dyDescent="0.25">
      <c r="A333" t="s">
        <v>1041</v>
      </c>
      <c r="B333" s="3">
        <v>0</v>
      </c>
      <c r="C333" s="4" t="s">
        <v>1618</v>
      </c>
    </row>
    <row r="334" spans="1:3" ht="409.5" x14ac:dyDescent="0.25">
      <c r="A334" t="s">
        <v>1151</v>
      </c>
      <c r="B334" s="3">
        <v>0</v>
      </c>
      <c r="C334" s="4" t="s">
        <v>1619</v>
      </c>
    </row>
    <row r="335" spans="1:3" ht="409.5" x14ac:dyDescent="0.25">
      <c r="A335" t="s">
        <v>1122</v>
      </c>
      <c r="B335" s="3">
        <v>0</v>
      </c>
      <c r="C335" s="4" t="s">
        <v>1620</v>
      </c>
    </row>
    <row r="336" spans="1:3" ht="409.5" x14ac:dyDescent="0.25">
      <c r="A336" t="s">
        <v>968</v>
      </c>
      <c r="B336" s="3">
        <v>0</v>
      </c>
      <c r="C336" s="4" t="s">
        <v>1621</v>
      </c>
    </row>
    <row r="337" spans="1:3" ht="409.5" x14ac:dyDescent="0.25">
      <c r="A337" t="s">
        <v>1267</v>
      </c>
      <c r="B337" s="3">
        <v>0</v>
      </c>
      <c r="C337" s="4" t="s">
        <v>1622</v>
      </c>
    </row>
    <row r="338" spans="1:3" ht="409.5" x14ac:dyDescent="0.25">
      <c r="A338" t="s">
        <v>1190</v>
      </c>
      <c r="B338" s="3">
        <v>0</v>
      </c>
      <c r="C338" s="4" t="s">
        <v>1623</v>
      </c>
    </row>
    <row r="339" spans="1:3" ht="409.5" x14ac:dyDescent="0.25">
      <c r="A339" t="s">
        <v>1230</v>
      </c>
      <c r="B339" s="3">
        <v>0</v>
      </c>
      <c r="C339" s="4" t="s">
        <v>1624</v>
      </c>
    </row>
    <row r="340" spans="1:3" ht="270" x14ac:dyDescent="0.25">
      <c r="A340" t="s">
        <v>1209</v>
      </c>
      <c r="B340" s="3">
        <v>1</v>
      </c>
      <c r="C340" s="4" t="s">
        <v>1625</v>
      </c>
    </row>
    <row r="341" spans="1:3" ht="409.5" x14ac:dyDescent="0.25">
      <c r="A341" t="s">
        <v>1229</v>
      </c>
      <c r="B341" s="3">
        <v>0</v>
      </c>
      <c r="C341" s="4" t="s">
        <v>1626</v>
      </c>
    </row>
    <row r="342" spans="1:3" ht="409.5" x14ac:dyDescent="0.25">
      <c r="A342" t="s">
        <v>982</v>
      </c>
      <c r="B342" s="3">
        <v>0</v>
      </c>
      <c r="C342" s="4" t="s">
        <v>1627</v>
      </c>
    </row>
    <row r="343" spans="1:3" ht="409.5" x14ac:dyDescent="0.25">
      <c r="A343" t="s">
        <v>997</v>
      </c>
      <c r="B343" s="3">
        <v>1</v>
      </c>
      <c r="C343" s="4" t="s">
        <v>1628</v>
      </c>
    </row>
    <row r="344" spans="1:3" ht="409.5" x14ac:dyDescent="0.25">
      <c r="A344" t="s">
        <v>1171</v>
      </c>
      <c r="B344" s="3">
        <v>0</v>
      </c>
      <c r="C344" s="4" t="s">
        <v>1629</v>
      </c>
    </row>
    <row r="345" spans="1:3" ht="409.5" x14ac:dyDescent="0.25">
      <c r="A345" t="s">
        <v>1053</v>
      </c>
      <c r="B345" s="3">
        <v>0</v>
      </c>
      <c r="C345" s="4" t="s">
        <v>1630</v>
      </c>
    </row>
    <row r="346" spans="1:3" ht="409.5" x14ac:dyDescent="0.25">
      <c r="A346" t="s">
        <v>1194</v>
      </c>
      <c r="B346" s="3">
        <v>0</v>
      </c>
      <c r="C346" s="4" t="s">
        <v>1631</v>
      </c>
    </row>
    <row r="347" spans="1:3" ht="409.5" x14ac:dyDescent="0.25">
      <c r="A347" t="s">
        <v>285</v>
      </c>
      <c r="B347" s="3">
        <v>0</v>
      </c>
      <c r="C347" s="4" t="s">
        <v>1632</v>
      </c>
    </row>
    <row r="348" spans="1:3" ht="409.5" x14ac:dyDescent="0.25">
      <c r="A348" t="s">
        <v>994</v>
      </c>
      <c r="B348" s="3">
        <v>1</v>
      </c>
      <c r="C348" s="4" t="s">
        <v>1633</v>
      </c>
    </row>
    <row r="349" spans="1:3" ht="330" x14ac:dyDescent="0.25">
      <c r="A349" t="s">
        <v>1096</v>
      </c>
      <c r="B349" s="3">
        <v>0</v>
      </c>
      <c r="C349" s="4" t="s">
        <v>1634</v>
      </c>
    </row>
    <row r="350" spans="1:3" ht="409.5" x14ac:dyDescent="0.25">
      <c r="A350" t="s">
        <v>1114</v>
      </c>
      <c r="B350" s="3">
        <v>0</v>
      </c>
      <c r="C350" s="4" t="s">
        <v>1635</v>
      </c>
    </row>
    <row r="351" spans="1:3" ht="409.5" x14ac:dyDescent="0.25">
      <c r="A351" t="s">
        <v>1268</v>
      </c>
      <c r="B351" s="3">
        <v>0</v>
      </c>
      <c r="C351" s="4" t="s">
        <v>1636</v>
      </c>
    </row>
    <row r="352" spans="1:3" ht="409.5" x14ac:dyDescent="0.25">
      <c r="A352" t="s">
        <v>1102</v>
      </c>
      <c r="B352" s="3">
        <v>0</v>
      </c>
      <c r="C352" s="4" t="s">
        <v>1637</v>
      </c>
    </row>
    <row r="353" spans="1:3" ht="409.5" x14ac:dyDescent="0.25">
      <c r="A353" t="s">
        <v>1092</v>
      </c>
      <c r="B353" s="3">
        <v>0</v>
      </c>
      <c r="C353" s="4" t="s">
        <v>1638</v>
      </c>
    </row>
    <row r="354" spans="1:3" ht="409.5" x14ac:dyDescent="0.25">
      <c r="A354" t="s">
        <v>1047</v>
      </c>
      <c r="B354" s="3">
        <v>0</v>
      </c>
      <c r="C354" s="4" t="s">
        <v>1639</v>
      </c>
    </row>
    <row r="355" spans="1:3" ht="409.5" x14ac:dyDescent="0.25">
      <c r="A355" t="s">
        <v>998</v>
      </c>
      <c r="B355" s="3">
        <v>0</v>
      </c>
      <c r="C355" s="4" t="s">
        <v>1640</v>
      </c>
    </row>
    <row r="356" spans="1:3" ht="409.5" x14ac:dyDescent="0.25">
      <c r="A356" t="s">
        <v>1021</v>
      </c>
      <c r="B356" s="3">
        <v>0</v>
      </c>
      <c r="C356" s="4" t="s">
        <v>1641</v>
      </c>
    </row>
    <row r="357" spans="1:3" ht="409.5" x14ac:dyDescent="0.25">
      <c r="A357" t="s">
        <v>1238</v>
      </c>
      <c r="B357" s="3">
        <v>1</v>
      </c>
      <c r="C357" s="4" t="s">
        <v>1642</v>
      </c>
    </row>
    <row r="358" spans="1:3" ht="409.5" x14ac:dyDescent="0.25">
      <c r="A358" t="s">
        <v>937</v>
      </c>
      <c r="B358" s="3">
        <v>0</v>
      </c>
      <c r="C358" s="4" t="s">
        <v>1643</v>
      </c>
    </row>
    <row r="359" spans="1:3" ht="409.5" x14ac:dyDescent="0.25">
      <c r="A359" t="s">
        <v>1162</v>
      </c>
      <c r="B359" s="3">
        <v>0</v>
      </c>
      <c r="C359" s="4" t="s">
        <v>1644</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samples</vt:lpstr>
      <vt:lpstr>codex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Nunes</dc:creator>
  <cp:lastModifiedBy>Henrique Nunes</cp:lastModifiedBy>
  <dcterms:created xsi:type="dcterms:W3CDTF">2026-03-02T18:09:15Z</dcterms:created>
  <dcterms:modified xsi:type="dcterms:W3CDTF">2026-05-29T13:40:41Z</dcterms:modified>
</cp:coreProperties>
</file>